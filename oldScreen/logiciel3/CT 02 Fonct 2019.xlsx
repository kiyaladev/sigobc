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CT 04\CT 02 2018\CT 02 CT 03 CT 04\"/>
    </mc:Choice>
  </mc:AlternateContent>
  <bookViews>
    <workbookView xWindow="-120" yWindow="-120" windowWidth="20730" windowHeight="11760" firstSheet="32" activeTab="41"/>
  </bookViews>
  <sheets>
    <sheet name="6000" sheetId="2" r:id="rId1"/>
    <sheet name="60010" sheetId="14" r:id="rId2"/>
    <sheet name="60011" sheetId="15" r:id="rId3"/>
    <sheet name="60012" sheetId="5" r:id="rId4"/>
    <sheet name="60013" sheetId="6" r:id="rId5"/>
    <sheet name="60015" sheetId="7" r:id="rId6"/>
    <sheet name="60016" sheetId="8" r:id="rId7"/>
    <sheet name="6002" sheetId="12" r:id="rId8"/>
    <sheet name="6006" sheetId="9" r:id="rId9"/>
    <sheet name="6010" sheetId="13" r:id="rId10"/>
    <sheet name="6020" sheetId="11" r:id="rId11"/>
    <sheet name="6031" sheetId="10" r:id="rId12"/>
    <sheet name="6033" sheetId="22" r:id="rId13"/>
    <sheet name="6100" sheetId="21" r:id="rId14"/>
    <sheet name="6101" sheetId="45" r:id="rId15"/>
    <sheet name="6133" sheetId="39" r:id="rId16"/>
    <sheet name="6141" sheetId="51" r:id="rId17"/>
    <sheet name="6142" sheetId="52" r:id="rId18"/>
    <sheet name="6152" sheetId="55" r:id="rId19"/>
    <sheet name="6201" sheetId="56" r:id="rId20"/>
    <sheet name="6206" sheetId="50" r:id="rId21"/>
    <sheet name="6224" sheetId="53" r:id="rId22"/>
    <sheet name="6225" sheetId="54" r:id="rId23"/>
    <sheet name="6226" sheetId="17" r:id="rId24"/>
    <sheet name="6242" sheetId="18" r:id="rId25"/>
    <sheet name="6246" sheetId="49" r:id="rId26"/>
    <sheet name="6250" sheetId="30" r:id="rId27"/>
    <sheet name="6256" sheetId="28" r:id="rId28"/>
    <sheet name="6301" sheetId="41" r:id="rId29"/>
    <sheet name="6306" sheetId="57" r:id="rId30"/>
    <sheet name="6336" sheetId="48" r:id="rId31"/>
    <sheet name="6341" sheetId="44" r:id="rId32"/>
    <sheet name="6406" sheetId="29" r:id="rId33"/>
    <sheet name="6415" sheetId="27" r:id="rId34"/>
    <sheet name="6416" sheetId="47" r:id="rId35"/>
    <sheet name="6420" sheetId="26" r:id="rId36"/>
    <sheet name="6421" sheetId="25" r:id="rId37"/>
    <sheet name="6422" sheetId="24" r:id="rId38"/>
    <sheet name="6426" sheetId="23" r:id="rId39"/>
    <sheet name="6430" sheetId="34" r:id="rId40"/>
    <sheet name="6431" sheetId="38" r:id="rId41"/>
    <sheet name="6440" sheetId="46" r:id="rId42"/>
    <sheet name="6441" sheetId="37" r:id="rId43"/>
    <sheet name="6451" sheetId="43" r:id="rId44"/>
    <sheet name="Feuil10" sheetId="67" r:id="rId45"/>
  </sheets>
  <calcPr calcId="152511"/>
</workbook>
</file>

<file path=xl/calcChain.xml><?xml version="1.0" encoding="utf-8"?>
<calcChain xmlns="http://schemas.openxmlformats.org/spreadsheetml/2006/main">
  <c r="H26" i="43" l="1"/>
  <c r="H16" i="43"/>
  <c r="I26" i="37"/>
  <c r="K26" i="37"/>
  <c r="H26" i="37"/>
  <c r="J7" i="26"/>
  <c r="K7" i="26"/>
  <c r="J8" i="26"/>
  <c r="K9" i="26"/>
  <c r="K10" i="26" s="1"/>
  <c r="K11" i="26" s="1"/>
  <c r="B11" i="26"/>
  <c r="C11" i="26"/>
  <c r="D11" i="26"/>
  <c r="E11" i="26"/>
  <c r="F11" i="26"/>
  <c r="G11" i="26"/>
  <c r="H11" i="26"/>
  <c r="I11" i="26"/>
  <c r="J11" i="26"/>
  <c r="J13" i="26"/>
  <c r="K13" i="26" s="1"/>
  <c r="H14" i="26"/>
  <c r="K139" i="39"/>
  <c r="D152" i="39"/>
  <c r="E152" i="39"/>
  <c r="F152" i="39"/>
  <c r="G152" i="39"/>
  <c r="H152" i="39"/>
  <c r="I152" i="39"/>
  <c r="K152" i="39"/>
  <c r="C152" i="39"/>
  <c r="D139" i="39"/>
  <c r="E139" i="39"/>
  <c r="F139" i="39"/>
  <c r="G139" i="39"/>
  <c r="H139" i="39"/>
  <c r="I139" i="39"/>
  <c r="C139" i="39"/>
  <c r="F216" i="21"/>
  <c r="G216" i="21"/>
  <c r="H216" i="21"/>
  <c r="I216" i="21"/>
  <c r="K216" i="21"/>
  <c r="G26" i="22"/>
  <c r="H26" i="22"/>
  <c r="I26" i="22"/>
  <c r="K26" i="22"/>
  <c r="F26" i="22"/>
  <c r="D188" i="10"/>
  <c r="E188" i="10"/>
  <c r="F188" i="10"/>
  <c r="G188" i="10"/>
  <c r="H188" i="10"/>
  <c r="I188" i="10"/>
  <c r="K188" i="10"/>
  <c r="C188" i="10"/>
  <c r="D172" i="10"/>
  <c r="E172" i="10"/>
  <c r="F172" i="10"/>
  <c r="G172" i="10"/>
  <c r="H172" i="10"/>
  <c r="I172" i="10"/>
  <c r="C172" i="10"/>
  <c r="J49" i="11"/>
  <c r="K49" i="11"/>
  <c r="D58" i="11"/>
  <c r="E58" i="11"/>
  <c r="F58" i="11"/>
  <c r="G58" i="11"/>
  <c r="H58" i="11"/>
  <c r="I58" i="11"/>
  <c r="C58" i="11"/>
  <c r="D49" i="11"/>
  <c r="E49" i="11"/>
  <c r="F49" i="11"/>
  <c r="G49" i="11"/>
  <c r="C49" i="11"/>
  <c r="K346" i="13"/>
  <c r="D346" i="13"/>
  <c r="E346" i="13"/>
  <c r="F346" i="13"/>
  <c r="G346" i="13"/>
  <c r="H346" i="13"/>
  <c r="I346" i="13"/>
  <c r="C346" i="13"/>
  <c r="K328" i="13"/>
  <c r="J328" i="13"/>
  <c r="D328" i="13"/>
  <c r="E328" i="13"/>
  <c r="F328" i="13"/>
  <c r="G328" i="13"/>
  <c r="H328" i="13"/>
  <c r="I328" i="13"/>
  <c r="C328" i="13"/>
  <c r="J185" i="12"/>
  <c r="L180" i="2"/>
  <c r="K180" i="2"/>
  <c r="L175" i="2"/>
  <c r="K175" i="2"/>
  <c r="K174" i="2"/>
  <c r="K158" i="2"/>
  <c r="K14" i="26" l="1"/>
  <c r="D193" i="2"/>
  <c r="E193" i="2"/>
  <c r="F193" i="2"/>
  <c r="G193" i="2"/>
  <c r="I193" i="2"/>
  <c r="J193" i="2"/>
  <c r="C193" i="2"/>
  <c r="D180" i="2"/>
  <c r="E180" i="2"/>
  <c r="F180" i="2"/>
  <c r="G180" i="2"/>
  <c r="H180" i="2"/>
  <c r="H193" i="2" s="1"/>
  <c r="I180" i="2"/>
  <c r="J180" i="2"/>
  <c r="C180" i="2"/>
  <c r="D136" i="39" l="1"/>
  <c r="E136" i="39"/>
  <c r="F136" i="39"/>
  <c r="G136" i="39"/>
  <c r="H136" i="39"/>
  <c r="I136" i="39"/>
  <c r="C136" i="39"/>
  <c r="D185" i="10"/>
  <c r="E185" i="10"/>
  <c r="F185" i="10"/>
  <c r="G185" i="10"/>
  <c r="H185" i="10"/>
  <c r="I185" i="10"/>
  <c r="C185" i="10"/>
  <c r="D170" i="10"/>
  <c r="E170" i="10"/>
  <c r="F170" i="10"/>
  <c r="G170" i="10"/>
  <c r="H170" i="10"/>
  <c r="I170" i="10"/>
  <c r="C170" i="10"/>
  <c r="K15" i="9"/>
  <c r="K16" i="9" s="1"/>
  <c r="K14" i="9"/>
  <c r="J17" i="9"/>
  <c r="J15" i="9"/>
  <c r="J16" i="9"/>
  <c r="K48" i="29"/>
  <c r="K49" i="29"/>
  <c r="K50" i="29" s="1"/>
  <c r="J46" i="29"/>
  <c r="K196" i="21"/>
  <c r="K197" i="21" s="1"/>
  <c r="K198" i="21" s="1"/>
  <c r="K199" i="21" s="1"/>
  <c r="K200" i="21" s="1"/>
  <c r="K325" i="13"/>
  <c r="K326" i="13"/>
  <c r="K327" i="13" s="1"/>
  <c r="K183" i="12"/>
  <c r="K184" i="12"/>
  <c r="G17" i="17" l="1"/>
  <c r="G26" i="17"/>
  <c r="J181" i="12"/>
  <c r="K181" i="12"/>
  <c r="K182" i="12" s="1"/>
  <c r="K180" i="12"/>
  <c r="C25" i="8" l="1"/>
  <c r="C28" i="8"/>
  <c r="F58" i="29" l="1"/>
  <c r="G58" i="29"/>
  <c r="H58" i="29"/>
  <c r="I58" i="29"/>
  <c r="F54" i="29"/>
  <c r="G54" i="29"/>
  <c r="H54" i="29"/>
  <c r="I54" i="29"/>
  <c r="E54" i="29"/>
  <c r="E58" i="29" s="1"/>
  <c r="D323" i="13"/>
  <c r="E323" i="13"/>
  <c r="F323" i="13"/>
  <c r="G323" i="13"/>
  <c r="H323" i="13"/>
  <c r="I323" i="13"/>
  <c r="C323" i="13"/>
  <c r="D216" i="21"/>
  <c r="E216" i="21"/>
  <c r="C216" i="21"/>
  <c r="D202" i="21"/>
  <c r="E202" i="21"/>
  <c r="F202" i="21"/>
  <c r="G202" i="21"/>
  <c r="H202" i="21"/>
  <c r="I202" i="21"/>
  <c r="C202" i="21"/>
  <c r="K46" i="29" l="1"/>
  <c r="F46" i="29"/>
  <c r="G46" i="29"/>
  <c r="H46" i="29"/>
  <c r="I46" i="29"/>
  <c r="E46" i="29"/>
  <c r="J36" i="30"/>
  <c r="D175" i="2"/>
  <c r="E175" i="2"/>
  <c r="F175" i="2"/>
  <c r="G175" i="2"/>
  <c r="H175" i="2"/>
  <c r="I175" i="2"/>
  <c r="J175" i="2"/>
  <c r="C175" i="2"/>
  <c r="J212" i="21" l="1"/>
  <c r="J211" i="21"/>
  <c r="J210" i="21"/>
  <c r="J209" i="21"/>
  <c r="J208" i="21"/>
  <c r="J207" i="21"/>
  <c r="J206" i="21"/>
  <c r="J205" i="21"/>
  <c r="J204" i="21"/>
  <c r="J203" i="21"/>
  <c r="J201" i="21"/>
  <c r="J200" i="21"/>
  <c r="J199" i="21"/>
  <c r="J198" i="21"/>
  <c r="J197" i="21"/>
  <c r="J196" i="21"/>
  <c r="J195" i="21"/>
  <c r="J202" i="21" l="1"/>
  <c r="J213" i="21"/>
  <c r="K17" i="22" l="1"/>
  <c r="J17" i="22"/>
  <c r="J181" i="21"/>
  <c r="K23" i="15"/>
  <c r="L174" i="2"/>
  <c r="J23" i="30" l="1"/>
  <c r="F20" i="22"/>
  <c r="K16" i="22"/>
  <c r="K21" i="15"/>
  <c r="K22" i="15" s="1"/>
  <c r="K20" i="15"/>
  <c r="J20" i="15"/>
  <c r="K131" i="39" l="1"/>
  <c r="K291" i="13"/>
  <c r="K292" i="13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K305" i="13" s="1"/>
  <c r="K306" i="13" s="1"/>
  <c r="K307" i="13" s="1"/>
  <c r="K308" i="13" s="1"/>
  <c r="K309" i="13" s="1"/>
  <c r="K79" i="6"/>
  <c r="K80" i="6"/>
  <c r="K81" i="6" s="1"/>
  <c r="K82" i="6" s="1"/>
  <c r="K83" i="6" s="1"/>
  <c r="K84" i="6" s="1"/>
  <c r="K85" i="6" s="1"/>
  <c r="C87" i="6"/>
  <c r="J184" i="10" l="1"/>
  <c r="J183" i="10"/>
  <c r="J182" i="10"/>
  <c r="J181" i="10"/>
  <c r="J180" i="10"/>
  <c r="J179" i="10"/>
  <c r="J178" i="10"/>
  <c r="J171" i="10"/>
  <c r="J169" i="10"/>
  <c r="J168" i="10"/>
  <c r="J167" i="10"/>
  <c r="J166" i="10"/>
  <c r="J165" i="10"/>
  <c r="J164" i="10"/>
  <c r="J342" i="13"/>
  <c r="J341" i="13"/>
  <c r="J343" i="13" s="1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7" i="13"/>
  <c r="J326" i="13"/>
  <c r="J325" i="13"/>
  <c r="J324" i="13"/>
  <c r="J322" i="13"/>
  <c r="I321" i="13"/>
  <c r="H321" i="13"/>
  <c r="G321" i="13"/>
  <c r="F321" i="13"/>
  <c r="J307" i="13"/>
  <c r="J171" i="12"/>
  <c r="K48" i="11"/>
  <c r="J185" i="10" l="1"/>
  <c r="I26" i="24" l="1"/>
  <c r="H26" i="24"/>
  <c r="J184" i="12"/>
  <c r="J183" i="12"/>
  <c r="J179" i="12"/>
  <c r="J178" i="12"/>
  <c r="J177" i="12"/>
  <c r="J176" i="12"/>
  <c r="J175" i="12"/>
  <c r="J174" i="12"/>
  <c r="J173" i="12"/>
  <c r="J172" i="12"/>
  <c r="J170" i="12"/>
  <c r="J169" i="12"/>
  <c r="J168" i="12"/>
  <c r="J167" i="12"/>
  <c r="J165" i="12"/>
  <c r="J164" i="12"/>
  <c r="J49" i="5"/>
  <c r="J147" i="10"/>
  <c r="J293" i="13"/>
  <c r="J294" i="13"/>
  <c r="K152" i="2"/>
  <c r="K153" i="2"/>
  <c r="D87" i="6"/>
  <c r="E87" i="6"/>
  <c r="F87" i="6"/>
  <c r="G87" i="6"/>
  <c r="H87" i="6"/>
  <c r="I87" i="6"/>
  <c r="C89" i="6"/>
  <c r="J180" i="12" l="1"/>
  <c r="K151" i="2"/>
  <c r="J310" i="13" l="1"/>
  <c r="J309" i="13"/>
  <c r="J308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2" i="13"/>
  <c r="J291" i="13"/>
  <c r="J290" i="13"/>
  <c r="J311" i="13" l="1"/>
  <c r="J321" i="13" s="1"/>
  <c r="K14" i="24"/>
  <c r="H14" i="24"/>
  <c r="D25" i="30"/>
  <c r="D22" i="30"/>
  <c r="H55" i="11"/>
  <c r="I55" i="11"/>
  <c r="K46" i="11"/>
  <c r="J46" i="11"/>
  <c r="D46" i="11"/>
  <c r="E46" i="11"/>
  <c r="F46" i="11"/>
  <c r="G46" i="11"/>
  <c r="H46" i="11"/>
  <c r="I46" i="11"/>
  <c r="C46" i="11"/>
  <c r="D77" i="6"/>
  <c r="E77" i="6"/>
  <c r="F77" i="6"/>
  <c r="G77" i="6"/>
  <c r="H77" i="6"/>
  <c r="I77" i="6"/>
  <c r="G24" i="15"/>
  <c r="H24" i="15"/>
  <c r="I24" i="15"/>
  <c r="F24" i="15"/>
  <c r="F26" i="15" s="1"/>
  <c r="D24" i="14"/>
  <c r="E24" i="14"/>
  <c r="F24" i="14"/>
  <c r="G24" i="14"/>
  <c r="H24" i="14"/>
  <c r="I24" i="14"/>
  <c r="C24" i="14"/>
  <c r="C26" i="14"/>
  <c r="J18" i="14"/>
  <c r="K18" i="14"/>
  <c r="C18" i="14"/>
  <c r="K17" i="14" l="1"/>
  <c r="J17" i="14"/>
  <c r="J142" i="10" l="1"/>
  <c r="J140" i="12"/>
  <c r="J141" i="12"/>
  <c r="J142" i="12"/>
  <c r="J139" i="12"/>
  <c r="J43" i="5"/>
  <c r="J44" i="5"/>
  <c r="J50" i="11"/>
  <c r="J52" i="11"/>
  <c r="I26" i="26" l="1"/>
  <c r="H26" i="26"/>
  <c r="J167" i="21"/>
  <c r="J168" i="21"/>
  <c r="D58" i="29" l="1"/>
  <c r="K58" i="29" s="1"/>
  <c r="J19" i="30" l="1"/>
  <c r="D27" i="30"/>
  <c r="G26" i="15"/>
  <c r="H26" i="15"/>
  <c r="I26" i="15"/>
  <c r="K44" i="11" l="1"/>
  <c r="D44" i="11"/>
  <c r="E44" i="11"/>
  <c r="F44" i="11"/>
  <c r="G44" i="11"/>
  <c r="H44" i="11"/>
  <c r="I44" i="11"/>
  <c r="C44" i="11"/>
  <c r="J260" i="13"/>
  <c r="J278" i="13"/>
  <c r="J277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59" i="13"/>
  <c r="J258" i="13"/>
  <c r="J145" i="21"/>
  <c r="J146" i="21"/>
  <c r="J147" i="21"/>
  <c r="K138" i="2"/>
  <c r="K140" i="2"/>
  <c r="K137" i="2"/>
  <c r="J152" i="10"/>
  <c r="J151" i="10"/>
  <c r="J150" i="10"/>
  <c r="J149" i="10"/>
  <c r="J148" i="10"/>
  <c r="J145" i="10"/>
  <c r="J144" i="10"/>
  <c r="J143" i="10"/>
  <c r="J141" i="10"/>
  <c r="J140" i="10"/>
  <c r="J138" i="10"/>
  <c r="J137" i="10"/>
  <c r="J136" i="10"/>
  <c r="J135" i="10"/>
  <c r="J134" i="10"/>
  <c r="J133" i="10"/>
  <c r="J132" i="10"/>
  <c r="J24" i="5"/>
  <c r="J23" i="5"/>
  <c r="J146" i="10" l="1"/>
  <c r="J276" i="13"/>
  <c r="J153" i="10"/>
  <c r="J163" i="10" s="1"/>
  <c r="J279" i="13"/>
  <c r="J289" i="13" s="1"/>
  <c r="J135" i="12" l="1"/>
  <c r="D25" i="5"/>
  <c r="E25" i="5"/>
  <c r="H25" i="5"/>
  <c r="I25" i="5"/>
  <c r="C25" i="5"/>
  <c r="J76" i="6"/>
  <c r="J77" i="6" s="1"/>
  <c r="J79" i="6"/>
  <c r="J81" i="6"/>
  <c r="J82" i="6"/>
  <c r="J83" i="6"/>
  <c r="J84" i="6"/>
  <c r="K87" i="6" s="1"/>
  <c r="K89" i="6" s="1"/>
  <c r="J85" i="6"/>
  <c r="J74" i="6"/>
  <c r="K119" i="2" l="1"/>
  <c r="K120" i="2"/>
  <c r="K121" i="2"/>
  <c r="K122" i="2"/>
  <c r="K123" i="2"/>
  <c r="K124" i="2"/>
  <c r="K125" i="2"/>
  <c r="I17" i="30" l="1"/>
  <c r="J108" i="39"/>
  <c r="J134" i="21"/>
  <c r="J135" i="21"/>
  <c r="J136" i="21"/>
  <c r="J137" i="21"/>
  <c r="J19" i="15"/>
  <c r="K19" i="15"/>
  <c r="K18" i="15"/>
  <c r="J18" i="15"/>
  <c r="G19" i="15"/>
  <c r="H19" i="15"/>
  <c r="I19" i="15"/>
  <c r="F19" i="15"/>
  <c r="J118" i="12"/>
  <c r="J119" i="12"/>
  <c r="J120" i="12"/>
  <c r="J100" i="39"/>
  <c r="J231" i="13"/>
  <c r="J232" i="13"/>
  <c r="J117" i="10"/>
  <c r="J118" i="10"/>
  <c r="J119" i="10"/>
  <c r="I25" i="30" l="1"/>
  <c r="I27" i="30" s="1"/>
  <c r="I22" i="30"/>
  <c r="J37" i="29"/>
  <c r="K37" i="29" s="1"/>
  <c r="K38" i="29" s="1"/>
  <c r="K39" i="29" s="1"/>
  <c r="K40" i="29" s="1"/>
  <c r="K41" i="29" s="1"/>
  <c r="J38" i="29"/>
  <c r="J39" i="29"/>
  <c r="J40" i="29"/>
  <c r="K36" i="29"/>
  <c r="E41" i="29"/>
  <c r="J41" i="29" s="1"/>
  <c r="J35" i="29"/>
  <c r="F35" i="29"/>
  <c r="G35" i="29"/>
  <c r="H35" i="29"/>
  <c r="I35" i="29"/>
  <c r="E35" i="29"/>
  <c r="K25" i="29"/>
  <c r="K15" i="29"/>
  <c r="K16" i="29" s="1"/>
  <c r="K17" i="29" s="1"/>
  <c r="K18" i="29" s="1"/>
  <c r="K19" i="29" s="1"/>
  <c r="K20" i="29" s="1"/>
  <c r="K21" i="29" s="1"/>
  <c r="K22" i="29" s="1"/>
  <c r="K23" i="29" s="1"/>
  <c r="K24" i="29" s="1"/>
  <c r="K35" i="29" s="1"/>
  <c r="K14" i="29"/>
  <c r="J14" i="29"/>
  <c r="J15" i="29"/>
  <c r="J16" i="29"/>
  <c r="J17" i="29"/>
  <c r="J18" i="29"/>
  <c r="J19" i="29"/>
  <c r="J20" i="29"/>
  <c r="J21" i="29"/>
  <c r="J22" i="29"/>
  <c r="J23" i="29"/>
  <c r="J24" i="29"/>
  <c r="F25" i="29"/>
  <c r="G25" i="29"/>
  <c r="H25" i="29"/>
  <c r="I25" i="29"/>
  <c r="J25" i="29"/>
  <c r="E25" i="29"/>
  <c r="K55" i="29"/>
  <c r="D54" i="29"/>
  <c r="C54" i="29"/>
  <c r="C58" i="29" s="1"/>
  <c r="J53" i="29"/>
  <c r="J52" i="29"/>
  <c r="J51" i="29"/>
  <c r="J50" i="29"/>
  <c r="J49" i="29"/>
  <c r="J48" i="29"/>
  <c r="J47" i="29"/>
  <c r="J45" i="29"/>
  <c r="J44" i="29"/>
  <c r="J43" i="29"/>
  <c r="J42" i="29"/>
  <c r="J36" i="29"/>
  <c r="I38" i="29"/>
  <c r="H38" i="29"/>
  <c r="D35" i="29"/>
  <c r="C35" i="29"/>
  <c r="I26" i="57"/>
  <c r="H14" i="57"/>
  <c r="H26" i="57" s="1"/>
  <c r="J13" i="57"/>
  <c r="K13" i="57" s="1"/>
  <c r="K14" i="57" s="1"/>
  <c r="I11" i="57"/>
  <c r="H11" i="57"/>
  <c r="G11" i="57"/>
  <c r="F11" i="57"/>
  <c r="E11" i="57"/>
  <c r="D11" i="57"/>
  <c r="C11" i="57"/>
  <c r="B11" i="57"/>
  <c r="K9" i="57"/>
  <c r="K10" i="57" s="1"/>
  <c r="J8" i="57"/>
  <c r="J7" i="57"/>
  <c r="K7" i="57" s="1"/>
  <c r="K26" i="57" s="1"/>
  <c r="H26" i="56"/>
  <c r="G26" i="56"/>
  <c r="F26" i="56"/>
  <c r="K23" i="56"/>
  <c r="J23" i="56"/>
  <c r="C23" i="56"/>
  <c r="I14" i="56"/>
  <c r="J14" i="56" s="1"/>
  <c r="J13" i="56"/>
  <c r="K13" i="56" s="1"/>
  <c r="I11" i="56"/>
  <c r="H11" i="56"/>
  <c r="G11" i="56"/>
  <c r="F11" i="56"/>
  <c r="E11" i="56"/>
  <c r="D11" i="56"/>
  <c r="C11" i="56"/>
  <c r="B11" i="56"/>
  <c r="K9" i="56"/>
  <c r="K10" i="56" s="1"/>
  <c r="J8" i="56"/>
  <c r="J7" i="56"/>
  <c r="J11" i="56" s="1"/>
  <c r="K13" i="55"/>
  <c r="K14" i="55" s="1"/>
  <c r="J13" i="55"/>
  <c r="J14" i="55" s="1"/>
  <c r="I11" i="55"/>
  <c r="H11" i="55"/>
  <c r="G11" i="55"/>
  <c r="F11" i="55"/>
  <c r="E11" i="55"/>
  <c r="D11" i="55"/>
  <c r="C11" i="55"/>
  <c r="B11" i="55"/>
  <c r="J8" i="55"/>
  <c r="K7" i="55"/>
  <c r="K9" i="55" s="1"/>
  <c r="K10" i="55" s="1"/>
  <c r="J7" i="55"/>
  <c r="J11" i="55" s="1"/>
  <c r="K15" i="22"/>
  <c r="K14" i="22"/>
  <c r="J14" i="22"/>
  <c r="F15" i="22"/>
  <c r="H14" i="43"/>
  <c r="K14" i="52"/>
  <c r="J14" i="52"/>
  <c r="G14" i="52"/>
  <c r="K14" i="51"/>
  <c r="G14" i="51"/>
  <c r="F15" i="30"/>
  <c r="F17" i="30" s="1"/>
  <c r="F22" i="30" s="1"/>
  <c r="F25" i="30" s="1"/>
  <c r="F27" i="30" s="1"/>
  <c r="G15" i="30"/>
  <c r="G17" i="30" s="1"/>
  <c r="G22" i="30" s="1"/>
  <c r="G25" i="30" s="1"/>
  <c r="G27" i="30" s="1"/>
  <c r="H15" i="30"/>
  <c r="H17" i="30" s="1"/>
  <c r="H22" i="30" s="1"/>
  <c r="H25" i="30" s="1"/>
  <c r="H27" i="30" s="1"/>
  <c r="E15" i="30"/>
  <c r="E17" i="30" s="1"/>
  <c r="E22" i="30" s="1"/>
  <c r="E25" i="30" s="1"/>
  <c r="E27" i="30" s="1"/>
  <c r="J81" i="39"/>
  <c r="J82" i="39"/>
  <c r="J83" i="39"/>
  <c r="J84" i="39"/>
  <c r="J85" i="39"/>
  <c r="J80" i="39"/>
  <c r="J133" i="21"/>
  <c r="J138" i="21"/>
  <c r="J139" i="21"/>
  <c r="J140" i="21"/>
  <c r="J141" i="21"/>
  <c r="J142" i="21"/>
  <c r="J143" i="21"/>
  <c r="J144" i="21"/>
  <c r="J148" i="21"/>
  <c r="J149" i="21"/>
  <c r="J150" i="21"/>
  <c r="J131" i="21"/>
  <c r="J109" i="21"/>
  <c r="J110" i="21"/>
  <c r="J111" i="21"/>
  <c r="J112" i="21"/>
  <c r="J113" i="21"/>
  <c r="J114" i="21"/>
  <c r="J115" i="21"/>
  <c r="J116" i="21"/>
  <c r="J117" i="21"/>
  <c r="K42" i="11"/>
  <c r="K38" i="11"/>
  <c r="K39" i="11" s="1"/>
  <c r="K40" i="11" s="1"/>
  <c r="K41" i="11" s="1"/>
  <c r="K37" i="11"/>
  <c r="J42" i="11"/>
  <c r="D42" i="11"/>
  <c r="E42" i="11"/>
  <c r="F42" i="11"/>
  <c r="G42" i="11"/>
  <c r="H42" i="11"/>
  <c r="I42" i="11"/>
  <c r="C42" i="11"/>
  <c r="J26" i="11"/>
  <c r="J38" i="11"/>
  <c r="J39" i="11"/>
  <c r="J40" i="11"/>
  <c r="J41" i="11"/>
  <c r="J110" i="12"/>
  <c r="J111" i="12"/>
  <c r="J112" i="12"/>
  <c r="J113" i="12"/>
  <c r="J114" i="12"/>
  <c r="K114" i="2"/>
  <c r="K115" i="2"/>
  <c r="K116" i="2"/>
  <c r="D72" i="6"/>
  <c r="E72" i="6"/>
  <c r="F72" i="6"/>
  <c r="G72" i="6"/>
  <c r="H72" i="6"/>
  <c r="G20" i="5"/>
  <c r="G25" i="5" s="1"/>
  <c r="F20" i="5"/>
  <c r="F25" i="5" s="1"/>
  <c r="J19" i="5"/>
  <c r="K27" i="30" l="1"/>
  <c r="J151" i="21"/>
  <c r="K42" i="29"/>
  <c r="K43" i="29" s="1"/>
  <c r="I40" i="29"/>
  <c r="H40" i="29"/>
  <c r="J11" i="57"/>
  <c r="K11" i="57"/>
  <c r="K7" i="56"/>
  <c r="K26" i="56" s="1"/>
  <c r="K11" i="56"/>
  <c r="I26" i="56"/>
  <c r="K11" i="55"/>
  <c r="K17" i="15"/>
  <c r="K15" i="15"/>
  <c r="K16" i="15" s="1"/>
  <c r="K14" i="15"/>
  <c r="J17" i="15"/>
  <c r="J14" i="15"/>
  <c r="J15" i="15"/>
  <c r="J16" i="15"/>
  <c r="G17" i="15"/>
  <c r="F17" i="15"/>
  <c r="K104" i="2"/>
  <c r="K105" i="2"/>
  <c r="K106" i="2"/>
  <c r="K107" i="2"/>
  <c r="K108" i="2"/>
  <c r="K109" i="2"/>
  <c r="K110" i="2"/>
  <c r="K111" i="2"/>
  <c r="K112" i="2"/>
  <c r="K113" i="2"/>
  <c r="K118" i="2"/>
  <c r="K126" i="2" s="1"/>
  <c r="K103" i="2"/>
  <c r="J74" i="39"/>
  <c r="J75" i="39"/>
  <c r="J76" i="39"/>
  <c r="J77" i="39"/>
  <c r="J73" i="39"/>
  <c r="J100" i="10"/>
  <c r="K24" i="11"/>
  <c r="K25" i="11" s="1"/>
  <c r="K23" i="11"/>
  <c r="J24" i="11"/>
  <c r="J25" i="11"/>
  <c r="D26" i="11"/>
  <c r="E26" i="11"/>
  <c r="F26" i="11"/>
  <c r="G26" i="11"/>
  <c r="H26" i="11"/>
  <c r="C26" i="11"/>
  <c r="C22" i="11"/>
  <c r="I183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67" i="13"/>
  <c r="J101" i="12"/>
  <c r="J102" i="12"/>
  <c r="J103" i="12"/>
  <c r="J104" i="12"/>
  <c r="J105" i="12"/>
  <c r="J106" i="12"/>
  <c r="J107" i="12"/>
  <c r="J100" i="12"/>
  <c r="J88" i="12"/>
  <c r="J89" i="12"/>
  <c r="J90" i="12"/>
  <c r="J87" i="12"/>
  <c r="K87" i="2"/>
  <c r="K88" i="2"/>
  <c r="K89" i="2"/>
  <c r="K90" i="2"/>
  <c r="K91" i="2"/>
  <c r="K86" i="2"/>
  <c r="J162" i="13"/>
  <c r="J163" i="13"/>
  <c r="J164" i="13"/>
  <c r="J165" i="13"/>
  <c r="J161" i="13"/>
  <c r="J68" i="39"/>
  <c r="J69" i="39"/>
  <c r="J70" i="39"/>
  <c r="J71" i="39"/>
  <c r="J67" i="39"/>
  <c r="J79" i="10"/>
  <c r="J80" i="10"/>
  <c r="J81" i="10"/>
  <c r="J82" i="10"/>
  <c r="J83" i="10"/>
  <c r="J84" i="10"/>
  <c r="J85" i="10"/>
  <c r="J86" i="10"/>
  <c r="J87" i="10"/>
  <c r="J78" i="10"/>
  <c r="K22" i="11"/>
  <c r="J22" i="11"/>
  <c r="J88" i="10" l="1"/>
  <c r="J183" i="13"/>
  <c r="J91" i="12"/>
  <c r="K44" i="29"/>
  <c r="K45" i="29" s="1"/>
  <c r="H55" i="29"/>
  <c r="K117" i="2"/>
  <c r="J137" i="13"/>
  <c r="J138" i="13"/>
  <c r="J139" i="13"/>
  <c r="J140" i="13"/>
  <c r="J141" i="13"/>
  <c r="J142" i="13"/>
  <c r="J143" i="13"/>
  <c r="J144" i="13"/>
  <c r="J145" i="13"/>
  <c r="J146" i="13"/>
  <c r="J147" i="13"/>
  <c r="J149" i="13"/>
  <c r="K47" i="29" l="1"/>
  <c r="J71" i="12"/>
  <c r="J68" i="12"/>
  <c r="J69" i="12"/>
  <c r="J70" i="12"/>
  <c r="J72" i="12"/>
  <c r="J73" i="12"/>
  <c r="J67" i="12"/>
  <c r="J79" i="21" l="1"/>
  <c r="J80" i="21"/>
  <c r="J81" i="21"/>
  <c r="J82" i="21"/>
  <c r="J83" i="21"/>
  <c r="J84" i="21"/>
  <c r="J86" i="21"/>
  <c r="J87" i="21"/>
  <c r="J88" i="21"/>
  <c r="J78" i="21"/>
  <c r="J71" i="21"/>
  <c r="J72" i="21"/>
  <c r="J73" i="21"/>
  <c r="J74" i="21"/>
  <c r="J75" i="21"/>
  <c r="J76" i="21"/>
  <c r="J70" i="21"/>
  <c r="J69" i="10"/>
  <c r="J70" i="10"/>
  <c r="J71" i="10"/>
  <c r="J72" i="10"/>
  <c r="J73" i="10"/>
  <c r="J74" i="10"/>
  <c r="J75" i="10"/>
  <c r="J76" i="10"/>
  <c r="J68" i="10"/>
  <c r="J105" i="13"/>
  <c r="J106" i="13"/>
  <c r="J107" i="13"/>
  <c r="J108" i="13"/>
  <c r="J109" i="13"/>
  <c r="J110" i="13"/>
  <c r="J111" i="13"/>
  <c r="J112" i="13"/>
  <c r="J114" i="13"/>
  <c r="J115" i="13"/>
  <c r="J116" i="13"/>
  <c r="J117" i="13"/>
  <c r="J77" i="2"/>
  <c r="J89" i="21" l="1"/>
  <c r="J77" i="21"/>
  <c r="J85" i="21"/>
  <c r="K71" i="2"/>
  <c r="K72" i="2"/>
  <c r="K73" i="2"/>
  <c r="K74" i="2"/>
  <c r="K75" i="2"/>
  <c r="K76" i="2"/>
  <c r="J48" i="39"/>
  <c r="J49" i="39"/>
  <c r="J50" i="39"/>
  <c r="J51" i="39"/>
  <c r="J52" i="39"/>
  <c r="J54" i="39"/>
  <c r="J55" i="39" s="1"/>
  <c r="J47" i="39"/>
  <c r="J75" i="13"/>
  <c r="J76" i="13"/>
  <c r="J77" i="13"/>
  <c r="J78" i="13"/>
  <c r="J80" i="13"/>
  <c r="J81" i="13"/>
  <c r="J82" i="13"/>
  <c r="J83" i="13"/>
  <c r="J84" i="13"/>
  <c r="J85" i="13"/>
  <c r="J86" i="13"/>
  <c r="J47" i="12"/>
  <c r="J48" i="12"/>
  <c r="J49" i="12"/>
  <c r="J50" i="12"/>
  <c r="J51" i="12"/>
  <c r="J52" i="12"/>
  <c r="J53" i="12"/>
  <c r="J54" i="12"/>
  <c r="J41" i="39"/>
  <c r="J42" i="39"/>
  <c r="J43" i="39"/>
  <c r="J44" i="39"/>
  <c r="J45" i="39"/>
  <c r="J50" i="21"/>
  <c r="J51" i="21"/>
  <c r="J52" i="21"/>
  <c r="J53" i="21"/>
  <c r="J54" i="21"/>
  <c r="J55" i="21"/>
  <c r="J53" i="39" l="1"/>
  <c r="J87" i="13"/>
  <c r="K47" i="2"/>
  <c r="K48" i="2"/>
  <c r="K49" i="2"/>
  <c r="K50" i="2"/>
  <c r="K51" i="2"/>
  <c r="K52" i="2"/>
  <c r="K53" i="2"/>
  <c r="K54" i="2"/>
  <c r="K55" i="2"/>
  <c r="K56" i="2"/>
  <c r="K38" i="2"/>
  <c r="K39" i="2"/>
  <c r="K40" i="2"/>
  <c r="K41" i="2"/>
  <c r="K42" i="2"/>
  <c r="K43" i="2"/>
  <c r="K44" i="2"/>
  <c r="J40" i="21"/>
  <c r="J41" i="21"/>
  <c r="J42" i="21"/>
  <c r="J43" i="21"/>
  <c r="J44" i="21"/>
  <c r="J45" i="21"/>
  <c r="J46" i="21"/>
  <c r="J47" i="21"/>
  <c r="J49" i="21"/>
  <c r="J56" i="21" s="1"/>
  <c r="J47" i="10"/>
  <c r="J48" i="10"/>
  <c r="J49" i="10"/>
  <c r="J50" i="10"/>
  <c r="J51" i="10"/>
  <c r="J52" i="10"/>
  <c r="J53" i="10"/>
  <c r="J54" i="10"/>
  <c r="J55" i="10"/>
  <c r="J46" i="10"/>
  <c r="J36" i="10"/>
  <c r="J37" i="10"/>
  <c r="J38" i="10"/>
  <c r="J39" i="10"/>
  <c r="J40" i="10"/>
  <c r="J41" i="10"/>
  <c r="J42" i="10"/>
  <c r="J43" i="10"/>
  <c r="J44" i="10"/>
  <c r="J15" i="11"/>
  <c r="J16" i="11" s="1"/>
  <c r="D16" i="11"/>
  <c r="E16" i="11"/>
  <c r="F16" i="11"/>
  <c r="G16" i="11"/>
  <c r="H16" i="11"/>
  <c r="J68" i="13"/>
  <c r="J70" i="13"/>
  <c r="J71" i="13"/>
  <c r="J72" i="13"/>
  <c r="J74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6" i="10" l="1"/>
  <c r="J81" i="12"/>
  <c r="J55" i="6"/>
  <c r="J56" i="6"/>
  <c r="J41" i="6"/>
  <c r="J54" i="6"/>
  <c r="J57" i="6" s="1"/>
  <c r="J67" i="6"/>
  <c r="J52" i="6"/>
  <c r="J17" i="6"/>
  <c r="J18" i="6"/>
  <c r="D25" i="6"/>
  <c r="E25" i="6"/>
  <c r="F25" i="6"/>
  <c r="G25" i="6"/>
  <c r="H25" i="6"/>
  <c r="I25" i="6"/>
  <c r="K79" i="2"/>
  <c r="K80" i="2"/>
  <c r="K81" i="2"/>
  <c r="K82" i="2"/>
  <c r="K83" i="2"/>
  <c r="K84" i="2"/>
  <c r="K78" i="2"/>
  <c r="J85" i="2"/>
  <c r="J93" i="2" s="1"/>
  <c r="I78" i="6" l="1"/>
  <c r="J78" i="6" s="1"/>
  <c r="J73" i="6"/>
  <c r="J75" i="6" s="1"/>
  <c r="J71" i="6"/>
  <c r="J72" i="6" s="1"/>
  <c r="J69" i="6"/>
  <c r="J68" i="6"/>
  <c r="J66" i="6"/>
  <c r="J70" i="6" s="1"/>
  <c r="I80" i="6" l="1"/>
  <c r="J80" i="6" s="1"/>
  <c r="J51" i="6"/>
  <c r="J16" i="6" l="1"/>
  <c r="K46" i="2"/>
  <c r="K70" i="2"/>
  <c r="K58" i="2"/>
  <c r="K59" i="2" s="1"/>
  <c r="K57" i="2" l="1"/>
  <c r="J37" i="39"/>
  <c r="J43" i="12"/>
  <c r="D22" i="39" l="1"/>
  <c r="D25" i="39" s="1"/>
  <c r="E22" i="39"/>
  <c r="E25" i="39" s="1"/>
  <c r="F22" i="39"/>
  <c r="F25" i="39" s="1"/>
  <c r="G22" i="39"/>
  <c r="G25" i="39" s="1"/>
  <c r="H22" i="39"/>
  <c r="H25" i="39" s="1"/>
  <c r="I22" i="39"/>
  <c r="I25" i="39" s="1"/>
  <c r="C22" i="39"/>
  <c r="C25" i="39" s="1"/>
  <c r="J23" i="12"/>
  <c r="K37" i="2"/>
  <c r="D25" i="10" l="1"/>
  <c r="E25" i="10"/>
  <c r="F25" i="10"/>
  <c r="G25" i="10"/>
  <c r="H25" i="10"/>
  <c r="I25" i="10"/>
  <c r="C25" i="10"/>
  <c r="D24" i="2"/>
  <c r="E24" i="2"/>
  <c r="F24" i="2"/>
  <c r="G24" i="2"/>
  <c r="H24" i="2"/>
  <c r="I24" i="2"/>
  <c r="J24" i="2"/>
  <c r="C24" i="2"/>
  <c r="J42" i="13"/>
  <c r="J22" i="12"/>
  <c r="J35" i="21" l="1"/>
  <c r="J41" i="13"/>
  <c r="J40" i="13"/>
  <c r="J39" i="13"/>
  <c r="D24" i="13"/>
  <c r="E24" i="13"/>
  <c r="F24" i="13"/>
  <c r="G24" i="13"/>
  <c r="H24" i="13"/>
  <c r="I24" i="13"/>
  <c r="C24" i="13"/>
  <c r="D24" i="21"/>
  <c r="E24" i="21"/>
  <c r="F24" i="21"/>
  <c r="G24" i="21"/>
  <c r="H24" i="21"/>
  <c r="I24" i="21"/>
  <c r="C24" i="21"/>
  <c r="J22" i="21"/>
  <c r="C14" i="11" l="1"/>
  <c r="C16" i="11" s="1"/>
  <c r="C18" i="11" s="1"/>
  <c r="C20" i="11" s="1"/>
  <c r="J12" i="11"/>
  <c r="C15" i="6"/>
  <c r="C22" i="6" s="1"/>
  <c r="C25" i="6" s="1"/>
  <c r="K12" i="11" l="1"/>
  <c r="J23" i="10"/>
  <c r="D24" i="12" l="1"/>
  <c r="E24" i="12"/>
  <c r="F24" i="12"/>
  <c r="G24" i="12"/>
  <c r="H24" i="12"/>
  <c r="I24" i="12"/>
  <c r="C24" i="12"/>
  <c r="J21" i="12"/>
  <c r="K19" i="2"/>
  <c r="K20" i="2"/>
  <c r="K21" i="2"/>
  <c r="K22" i="2"/>
  <c r="J37" i="13"/>
  <c r="J38" i="13"/>
  <c r="J36" i="13"/>
  <c r="J35" i="13"/>
  <c r="J14" i="44" l="1"/>
  <c r="J14" i="10"/>
  <c r="J14" i="21"/>
  <c r="J6" i="39" l="1"/>
  <c r="J17" i="43" l="1"/>
  <c r="J18" i="43" s="1"/>
  <c r="J15" i="43" l="1"/>
  <c r="K189" i="2" l="1"/>
  <c r="K188" i="2"/>
  <c r="J45" i="30" l="1"/>
  <c r="J46" i="30" s="1"/>
  <c r="J112" i="10"/>
  <c r="J113" i="10"/>
  <c r="J114" i="10"/>
  <c r="J116" i="10"/>
  <c r="J120" i="10"/>
  <c r="J111" i="10"/>
  <c r="J121" i="10" l="1"/>
  <c r="J131" i="10" s="1"/>
  <c r="J139" i="10" s="1"/>
  <c r="J115" i="10"/>
  <c r="H14" i="47"/>
  <c r="K185" i="2" l="1"/>
  <c r="J148" i="39"/>
  <c r="J147" i="39"/>
  <c r="J146" i="39"/>
  <c r="J145" i="39"/>
  <c r="J144" i="39"/>
  <c r="J143" i="39"/>
  <c r="J142" i="39"/>
  <c r="J141" i="39"/>
  <c r="J140" i="39"/>
  <c r="J139" i="39"/>
  <c r="J138" i="39"/>
  <c r="J137" i="39"/>
  <c r="J135" i="39"/>
  <c r="J134" i="39"/>
  <c r="J133" i="39"/>
  <c r="J132" i="39"/>
  <c r="K132" i="39" s="1"/>
  <c r="K133" i="39" s="1"/>
  <c r="K134" i="39" s="1"/>
  <c r="K135" i="39" s="1"/>
  <c r="J131" i="39"/>
  <c r="J130" i="39"/>
  <c r="J152" i="12"/>
  <c r="J151" i="12"/>
  <c r="J149" i="12"/>
  <c r="J148" i="12"/>
  <c r="J147" i="12"/>
  <c r="J146" i="12"/>
  <c r="J145" i="12"/>
  <c r="J144" i="12"/>
  <c r="J143" i="12"/>
  <c r="J137" i="12"/>
  <c r="J136" i="12"/>
  <c r="J133" i="12"/>
  <c r="J132" i="12"/>
  <c r="K184" i="2"/>
  <c r="J118" i="39"/>
  <c r="J180" i="21"/>
  <c r="J179" i="21"/>
  <c r="J178" i="21"/>
  <c r="J177" i="21"/>
  <c r="J176" i="21"/>
  <c r="J175" i="21"/>
  <c r="J174" i="21"/>
  <c r="J173" i="21"/>
  <c r="J172" i="21"/>
  <c r="J170" i="21"/>
  <c r="J169" i="21"/>
  <c r="J166" i="21"/>
  <c r="J171" i="21" s="1"/>
  <c r="J164" i="21"/>
  <c r="J163" i="21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0" i="13"/>
  <c r="J229" i="13"/>
  <c r="J227" i="13"/>
  <c r="J226" i="13"/>
  <c r="J214" i="13"/>
  <c r="J134" i="5"/>
  <c r="K183" i="2"/>
  <c r="K182" i="2"/>
  <c r="K181" i="2"/>
  <c r="J133" i="5"/>
  <c r="J98" i="44"/>
  <c r="J117" i="44"/>
  <c r="J116" i="44"/>
  <c r="J115" i="44"/>
  <c r="J114" i="44"/>
  <c r="J113" i="44"/>
  <c r="J112" i="44"/>
  <c r="J111" i="44"/>
  <c r="J110" i="44"/>
  <c r="J108" i="44"/>
  <c r="J107" i="44"/>
  <c r="J106" i="44"/>
  <c r="J105" i="44"/>
  <c r="J104" i="44"/>
  <c r="J101" i="44"/>
  <c r="J100" i="44"/>
  <c r="J99" i="44"/>
  <c r="H118" i="44"/>
  <c r="F118" i="44"/>
  <c r="D118" i="44"/>
  <c r="I118" i="44"/>
  <c r="G118" i="44"/>
  <c r="E118" i="44"/>
  <c r="C118" i="44"/>
  <c r="J117" i="39"/>
  <c r="J109" i="10"/>
  <c r="J213" i="13"/>
  <c r="J212" i="13"/>
  <c r="J211" i="13"/>
  <c r="J73" i="11"/>
  <c r="K136" i="39" l="1"/>
  <c r="J150" i="12"/>
  <c r="J182" i="21"/>
  <c r="J194" i="21" s="1"/>
  <c r="J247" i="13"/>
  <c r="J257" i="13" s="1"/>
  <c r="J261" i="13" s="1"/>
  <c r="J153" i="12"/>
  <c r="J163" i="12" s="1"/>
  <c r="J109" i="44"/>
  <c r="J118" i="44"/>
  <c r="J50" i="6"/>
  <c r="J210" i="13" l="1"/>
  <c r="J86" i="44"/>
  <c r="J108" i="10"/>
  <c r="J209" i="13"/>
  <c r="J85" i="44"/>
  <c r="J107" i="10"/>
  <c r="J208" i="13"/>
  <c r="J117" i="12"/>
  <c r="J121" i="12" s="1"/>
  <c r="J131" i="12" s="1"/>
  <c r="J83" i="44"/>
  <c r="J84" i="44"/>
  <c r="J106" i="10"/>
  <c r="J207" i="13"/>
  <c r="J148" i="5"/>
  <c r="J147" i="5"/>
  <c r="J146" i="5"/>
  <c r="J145" i="5"/>
  <c r="J144" i="5"/>
  <c r="J142" i="5"/>
  <c r="J143" i="5" s="1"/>
  <c r="J140" i="5"/>
  <c r="J139" i="5"/>
  <c r="J138" i="5"/>
  <c r="J136" i="5"/>
  <c r="I149" i="5"/>
  <c r="G149" i="5"/>
  <c r="E149" i="5"/>
  <c r="C149" i="5"/>
  <c r="J135" i="5"/>
  <c r="J132" i="5"/>
  <c r="J131" i="5"/>
  <c r="J130" i="5"/>
  <c r="J129" i="5"/>
  <c r="H149" i="5"/>
  <c r="F149" i="5"/>
  <c r="D149" i="5"/>
  <c r="J119" i="5"/>
  <c r="J206" i="13"/>
  <c r="J113" i="39"/>
  <c r="J115" i="39"/>
  <c r="J116" i="39"/>
  <c r="J105" i="10"/>
  <c r="J204" i="13"/>
  <c r="J203" i="13"/>
  <c r="J115" i="12"/>
  <c r="J116" i="5"/>
  <c r="J117" i="5"/>
  <c r="J118" i="5"/>
  <c r="K171" i="2"/>
  <c r="K156" i="2"/>
  <c r="K157" i="2"/>
  <c r="J202" i="13"/>
  <c r="J72" i="11"/>
  <c r="J49" i="6"/>
  <c r="D17" i="9"/>
  <c r="E17" i="9"/>
  <c r="F17" i="9"/>
  <c r="G17" i="9"/>
  <c r="H17" i="9"/>
  <c r="I17" i="9"/>
  <c r="C17" i="9"/>
  <c r="J14" i="9"/>
  <c r="J215" i="13" l="1"/>
  <c r="J149" i="5"/>
  <c r="J201" i="13" l="1"/>
  <c r="J200" i="13"/>
  <c r="J43" i="30"/>
  <c r="J44" i="30" s="1"/>
  <c r="J197" i="13"/>
  <c r="J198" i="13"/>
  <c r="J199" i="13"/>
  <c r="H16" i="27"/>
  <c r="H27" i="27" s="1"/>
  <c r="K187" i="2"/>
  <c r="K179" i="2"/>
  <c r="K178" i="2"/>
  <c r="K177" i="2"/>
  <c r="K176" i="2"/>
  <c r="K173" i="2"/>
  <c r="K172" i="2"/>
  <c r="K170" i="2"/>
  <c r="K169" i="2"/>
  <c r="J82" i="44"/>
  <c r="J104" i="10"/>
  <c r="J81" i="44"/>
  <c r="J103" i="10"/>
  <c r="J115" i="5"/>
  <c r="J80" i="44"/>
  <c r="J102" i="10"/>
  <c r="J114" i="5"/>
  <c r="K155" i="2"/>
  <c r="J113" i="5"/>
  <c r="J196" i="13"/>
  <c r="J195" i="13"/>
  <c r="J194" i="13"/>
  <c r="J79" i="44"/>
  <c r="J101" i="10"/>
  <c r="J112" i="5"/>
  <c r="K154" i="2"/>
  <c r="J71" i="11"/>
  <c r="J48" i="6"/>
  <c r="F26" i="45"/>
  <c r="J13" i="52"/>
  <c r="K13" i="52" s="1"/>
  <c r="I11" i="52"/>
  <c r="H11" i="52"/>
  <c r="G11" i="52"/>
  <c r="F11" i="52"/>
  <c r="E11" i="52"/>
  <c r="D11" i="52"/>
  <c r="C11" i="52"/>
  <c r="B11" i="52"/>
  <c r="J8" i="52"/>
  <c r="J7" i="52"/>
  <c r="K7" i="52" s="1"/>
  <c r="J13" i="51"/>
  <c r="K13" i="51" s="1"/>
  <c r="I11" i="51"/>
  <c r="H11" i="51"/>
  <c r="G11" i="51"/>
  <c r="F11" i="51"/>
  <c r="E11" i="51"/>
  <c r="D11" i="51"/>
  <c r="C11" i="51"/>
  <c r="B11" i="51"/>
  <c r="J8" i="51"/>
  <c r="J7" i="51"/>
  <c r="K7" i="51" s="1"/>
  <c r="J13" i="53"/>
  <c r="K13" i="53" s="1"/>
  <c r="I11" i="53"/>
  <c r="H11" i="53"/>
  <c r="G11" i="53"/>
  <c r="F11" i="53"/>
  <c r="E11" i="53"/>
  <c r="D11" i="53"/>
  <c r="C11" i="53"/>
  <c r="B11" i="53"/>
  <c r="K9" i="53"/>
  <c r="K10" i="53" s="1"/>
  <c r="J8" i="53"/>
  <c r="J7" i="53"/>
  <c r="J13" i="54"/>
  <c r="K13" i="54" s="1"/>
  <c r="I11" i="54"/>
  <c r="H11" i="54"/>
  <c r="G11" i="54"/>
  <c r="F11" i="54"/>
  <c r="E11" i="54"/>
  <c r="D11" i="54"/>
  <c r="C11" i="54"/>
  <c r="B11" i="54"/>
  <c r="J8" i="54"/>
  <c r="J7" i="54"/>
  <c r="K7" i="54" s="1"/>
  <c r="K9" i="54"/>
  <c r="K10" i="54" s="1"/>
  <c r="I26" i="28"/>
  <c r="H14" i="28"/>
  <c r="H26" i="28" s="1"/>
  <c r="I26" i="41"/>
  <c r="H14" i="41"/>
  <c r="H26" i="41" s="1"/>
  <c r="I26" i="49"/>
  <c r="H26" i="49"/>
  <c r="J14" i="49"/>
  <c r="I26" i="48"/>
  <c r="H26" i="48"/>
  <c r="J107" i="39"/>
  <c r="J106" i="39"/>
  <c r="G26" i="45"/>
  <c r="H26" i="45"/>
  <c r="I26" i="45"/>
  <c r="J18" i="45"/>
  <c r="J19" i="45"/>
  <c r="J22" i="22"/>
  <c r="J21" i="22"/>
  <c r="J23" i="15"/>
  <c r="J16" i="43"/>
  <c r="J17" i="45"/>
  <c r="J16" i="45"/>
  <c r="J15" i="45"/>
  <c r="K15" i="45" s="1"/>
  <c r="J110" i="5"/>
  <c r="J111" i="5" s="1"/>
  <c r="J103" i="39"/>
  <c r="J104" i="39"/>
  <c r="J22" i="18"/>
  <c r="J130" i="21"/>
  <c r="J69" i="11"/>
  <c r="J88" i="11"/>
  <c r="C88" i="11"/>
  <c r="J15" i="14"/>
  <c r="E88" i="11"/>
  <c r="G88" i="11"/>
  <c r="I88" i="11"/>
  <c r="D88" i="11"/>
  <c r="F88" i="11"/>
  <c r="H88" i="11"/>
  <c r="H14" i="37"/>
  <c r="H14" i="23"/>
  <c r="H26" i="23" s="1"/>
  <c r="J118" i="21"/>
  <c r="K149" i="2"/>
  <c r="K148" i="2"/>
  <c r="J16" i="24"/>
  <c r="J15" i="24"/>
  <c r="J14" i="24"/>
  <c r="J77" i="44"/>
  <c r="J108" i="5"/>
  <c r="K147" i="2"/>
  <c r="J76" i="44"/>
  <c r="J112" i="39"/>
  <c r="J111" i="39"/>
  <c r="J110" i="39"/>
  <c r="J105" i="39"/>
  <c r="J102" i="39"/>
  <c r="J101" i="39"/>
  <c r="J98" i="39"/>
  <c r="J109" i="12"/>
  <c r="J116" i="12" s="1"/>
  <c r="J107" i="5"/>
  <c r="K146" i="2"/>
  <c r="J75" i="44"/>
  <c r="J86" i="39"/>
  <c r="J106" i="5"/>
  <c r="K145" i="2"/>
  <c r="K144" i="2"/>
  <c r="J105" i="5"/>
  <c r="J74" i="44"/>
  <c r="J104" i="5"/>
  <c r="K143" i="2"/>
  <c r="J54" i="11"/>
  <c r="J55" i="11" s="1"/>
  <c r="J68" i="11" s="1"/>
  <c r="J45" i="11"/>
  <c r="I14" i="50"/>
  <c r="I26" i="50" s="1"/>
  <c r="K142" i="2"/>
  <c r="H26" i="50"/>
  <c r="G26" i="50"/>
  <c r="K23" i="50"/>
  <c r="J23" i="50"/>
  <c r="C23" i="50"/>
  <c r="F26" i="50"/>
  <c r="J13" i="50"/>
  <c r="K13" i="50" s="1"/>
  <c r="I11" i="50"/>
  <c r="H11" i="50"/>
  <c r="G11" i="50"/>
  <c r="F11" i="50"/>
  <c r="E11" i="50"/>
  <c r="D11" i="50"/>
  <c r="C11" i="50"/>
  <c r="B11" i="50"/>
  <c r="K9" i="50"/>
  <c r="K10" i="50" s="1"/>
  <c r="J8" i="50"/>
  <c r="J7" i="50"/>
  <c r="J41" i="30"/>
  <c r="J73" i="44"/>
  <c r="K141" i="2"/>
  <c r="K150" i="2" s="1"/>
  <c r="J40" i="30"/>
  <c r="J39" i="30"/>
  <c r="J18" i="17"/>
  <c r="I26" i="43"/>
  <c r="I26" i="46"/>
  <c r="H26" i="46"/>
  <c r="I26" i="23"/>
  <c r="I26" i="47"/>
  <c r="H26" i="47"/>
  <c r="I27" i="27"/>
  <c r="E26" i="49"/>
  <c r="F26" i="49"/>
  <c r="G26" i="49"/>
  <c r="D26" i="49"/>
  <c r="D26" i="18"/>
  <c r="E26" i="18"/>
  <c r="F26" i="18"/>
  <c r="H26" i="18"/>
  <c r="I26" i="18"/>
  <c r="C26" i="18"/>
  <c r="H26" i="17"/>
  <c r="I26" i="17"/>
  <c r="C27" i="38"/>
  <c r="D27" i="38"/>
  <c r="E27" i="38"/>
  <c r="F27" i="38"/>
  <c r="G27" i="38"/>
  <c r="I27" i="38"/>
  <c r="B7" i="38"/>
  <c r="B27" i="38" s="1"/>
  <c r="H16" i="38"/>
  <c r="H27" i="38" s="1"/>
  <c r="D45" i="6"/>
  <c r="D47" i="6" s="1"/>
  <c r="E45" i="6"/>
  <c r="E59" i="6" s="1"/>
  <c r="F45" i="6"/>
  <c r="F47" i="6" s="1"/>
  <c r="F53" i="6" s="1"/>
  <c r="F57" i="6" s="1"/>
  <c r="F66" i="6" s="1"/>
  <c r="G45" i="6"/>
  <c r="G59" i="6" s="1"/>
  <c r="H45" i="6"/>
  <c r="H47" i="6" s="1"/>
  <c r="H53" i="6" s="1"/>
  <c r="H57" i="6" s="1"/>
  <c r="H66" i="6" s="1"/>
  <c r="I45" i="6"/>
  <c r="I59" i="6" s="1"/>
  <c r="J102" i="5"/>
  <c r="J108" i="21"/>
  <c r="J119" i="21" s="1"/>
  <c r="J71" i="44"/>
  <c r="J106" i="21"/>
  <c r="J101" i="5"/>
  <c r="K136" i="2"/>
  <c r="J70" i="44"/>
  <c r="J78" i="39"/>
  <c r="J105" i="21"/>
  <c r="J100" i="5"/>
  <c r="J69" i="44"/>
  <c r="J104" i="21"/>
  <c r="J85" i="12"/>
  <c r="J99" i="5"/>
  <c r="J103" i="21"/>
  <c r="J102" i="21"/>
  <c r="J68" i="44"/>
  <c r="J101" i="21"/>
  <c r="J100" i="21"/>
  <c r="J84" i="12"/>
  <c r="J98" i="5"/>
  <c r="J44" i="6"/>
  <c r="J45" i="6" s="1"/>
  <c r="J37" i="30"/>
  <c r="J38" i="30" s="1"/>
  <c r="J83" i="12"/>
  <c r="J82" i="12"/>
  <c r="J14" i="38"/>
  <c r="J15" i="38"/>
  <c r="J20" i="18"/>
  <c r="J21" i="18" s="1"/>
  <c r="J134" i="13"/>
  <c r="J133" i="13"/>
  <c r="J19" i="22"/>
  <c r="J80" i="12"/>
  <c r="J84" i="5"/>
  <c r="J21" i="15"/>
  <c r="J22" i="15" s="1"/>
  <c r="J54" i="30"/>
  <c r="K54" i="30"/>
  <c r="I54" i="30"/>
  <c r="H54" i="30"/>
  <c r="G54" i="30"/>
  <c r="F54" i="30"/>
  <c r="E54" i="30"/>
  <c r="D54" i="30"/>
  <c r="C35" i="30"/>
  <c r="C54" i="30"/>
  <c r="J24" i="30"/>
  <c r="J25" i="30" s="1"/>
  <c r="J35" i="30" s="1"/>
  <c r="J18" i="22"/>
  <c r="J83" i="5"/>
  <c r="J132" i="13"/>
  <c r="J66" i="44"/>
  <c r="J67" i="44" s="1"/>
  <c r="J131" i="13"/>
  <c r="J79" i="12"/>
  <c r="J82" i="5"/>
  <c r="J56" i="44"/>
  <c r="J130" i="13"/>
  <c r="J78" i="12"/>
  <c r="J81" i="5"/>
  <c r="J55" i="44"/>
  <c r="J77" i="12"/>
  <c r="J80" i="5"/>
  <c r="J54" i="44"/>
  <c r="J76" i="12"/>
  <c r="J79" i="5"/>
  <c r="J42" i="6"/>
  <c r="J43" i="6" s="1"/>
  <c r="E35" i="30"/>
  <c r="E42" i="30" s="1"/>
  <c r="F35" i="30"/>
  <c r="F42" i="30" s="1"/>
  <c r="G35" i="30"/>
  <c r="G42" i="30" s="1"/>
  <c r="H35" i="30"/>
  <c r="H42" i="30" s="1"/>
  <c r="I35" i="30"/>
  <c r="I42" i="30" s="1"/>
  <c r="D35" i="30"/>
  <c r="D42" i="30" s="1"/>
  <c r="J52" i="44"/>
  <c r="J74" i="12"/>
  <c r="J77" i="5"/>
  <c r="J51" i="44"/>
  <c r="J76" i="5"/>
  <c r="J50" i="44"/>
  <c r="J75" i="5"/>
  <c r="J47" i="11"/>
  <c r="J21" i="30"/>
  <c r="J49" i="44"/>
  <c r="J57" i="10"/>
  <c r="J58" i="10" s="1"/>
  <c r="J74" i="5"/>
  <c r="J104" i="13"/>
  <c r="J40" i="6"/>
  <c r="J73" i="5"/>
  <c r="J102" i="2"/>
  <c r="J117" i="2" s="1"/>
  <c r="J126" i="2" s="1"/>
  <c r="K92" i="2"/>
  <c r="K93" i="2" s="1"/>
  <c r="J20" i="30"/>
  <c r="J72" i="5"/>
  <c r="J16" i="22"/>
  <c r="J15" i="22"/>
  <c r="H14" i="22"/>
  <c r="I14" i="22"/>
  <c r="J43" i="11"/>
  <c r="J71" i="5"/>
  <c r="J102" i="13"/>
  <c r="J100" i="13"/>
  <c r="J101" i="13"/>
  <c r="J68" i="21"/>
  <c r="J99" i="13"/>
  <c r="J98" i="13"/>
  <c r="J70" i="5"/>
  <c r="J69" i="5"/>
  <c r="J68" i="5"/>
  <c r="J67" i="5"/>
  <c r="D68" i="11"/>
  <c r="D74" i="11" s="1"/>
  <c r="D91" i="11" s="1"/>
  <c r="E68" i="11"/>
  <c r="E74" i="11" s="1"/>
  <c r="E91" i="11" s="1"/>
  <c r="F68" i="11"/>
  <c r="F74" i="11" s="1"/>
  <c r="F91" i="11" s="1"/>
  <c r="G68" i="11"/>
  <c r="G74" i="11" s="1"/>
  <c r="G91" i="11" s="1"/>
  <c r="H68" i="11"/>
  <c r="H74" i="11" s="1"/>
  <c r="H91" i="11" s="1"/>
  <c r="I40" i="11"/>
  <c r="I48" i="11" s="1"/>
  <c r="E44" i="44"/>
  <c r="E53" i="44" s="1"/>
  <c r="E57" i="44" s="1"/>
  <c r="E65" i="44" s="1"/>
  <c r="E67" i="44" s="1"/>
  <c r="E72" i="44" s="1"/>
  <c r="E78" i="44" s="1"/>
  <c r="E87" i="44" s="1"/>
  <c r="G44" i="44"/>
  <c r="G53" i="44" s="1"/>
  <c r="G57" i="44" s="1"/>
  <c r="G65" i="44" s="1"/>
  <c r="G67" i="44" s="1"/>
  <c r="G72" i="44" s="1"/>
  <c r="G78" i="44" s="1"/>
  <c r="G87" i="44" s="1"/>
  <c r="H44" i="44"/>
  <c r="H53" i="44" s="1"/>
  <c r="H57" i="44" s="1"/>
  <c r="H65" i="44" s="1"/>
  <c r="H67" i="44" s="1"/>
  <c r="H72" i="44" s="1"/>
  <c r="H78" i="44" s="1"/>
  <c r="H87" i="44" s="1"/>
  <c r="I44" i="44"/>
  <c r="I53" i="44" s="1"/>
  <c r="I57" i="44" s="1"/>
  <c r="I65" i="44" s="1"/>
  <c r="I67" i="44" s="1"/>
  <c r="I72" i="44" s="1"/>
  <c r="I78" i="44" s="1"/>
  <c r="I87" i="44" s="1"/>
  <c r="J45" i="44"/>
  <c r="J41" i="44"/>
  <c r="J42" i="44"/>
  <c r="J43" i="44"/>
  <c r="J46" i="44"/>
  <c r="J47" i="44"/>
  <c r="J48" i="44"/>
  <c r="J40" i="44"/>
  <c r="C14" i="14"/>
  <c r="J34" i="44"/>
  <c r="E25" i="44"/>
  <c r="E34" i="44" s="1"/>
  <c r="F25" i="44"/>
  <c r="F34" i="44" s="1"/>
  <c r="F39" i="44" s="1"/>
  <c r="F44" i="44" s="1"/>
  <c r="F53" i="44" s="1"/>
  <c r="F57" i="44" s="1"/>
  <c r="F65" i="44" s="1"/>
  <c r="F67" i="44" s="1"/>
  <c r="F72" i="44" s="1"/>
  <c r="F78" i="44" s="1"/>
  <c r="F87" i="44" s="1"/>
  <c r="G25" i="44"/>
  <c r="G34" i="44" s="1"/>
  <c r="H25" i="44"/>
  <c r="H34" i="44" s="1"/>
  <c r="I25" i="44"/>
  <c r="I34" i="44" s="1"/>
  <c r="J35" i="44"/>
  <c r="J38" i="44"/>
  <c r="J24" i="44"/>
  <c r="J18" i="30"/>
  <c r="J22" i="30" s="1"/>
  <c r="J16" i="30"/>
  <c r="J17" i="30" s="1"/>
  <c r="J14" i="30"/>
  <c r="J18" i="18"/>
  <c r="J17" i="18"/>
  <c r="G23" i="18"/>
  <c r="G26" i="18" s="1"/>
  <c r="J14" i="18"/>
  <c r="J15" i="18"/>
  <c r="J16" i="17"/>
  <c r="J14" i="17"/>
  <c r="J40" i="39"/>
  <c r="J46" i="39" s="1"/>
  <c r="J38" i="39"/>
  <c r="J35" i="39"/>
  <c r="J36" i="39"/>
  <c r="J24" i="39"/>
  <c r="J67" i="21"/>
  <c r="J39" i="21"/>
  <c r="J48" i="21" s="1"/>
  <c r="J37" i="21"/>
  <c r="J35" i="10"/>
  <c r="J45" i="10" s="1"/>
  <c r="J24" i="10"/>
  <c r="J37" i="11"/>
  <c r="J36" i="11"/>
  <c r="H36" i="11"/>
  <c r="I26" i="11"/>
  <c r="I36" i="11" s="1"/>
  <c r="K26" i="17"/>
  <c r="J36" i="44"/>
  <c r="D36" i="11"/>
  <c r="E36" i="11"/>
  <c r="F36" i="11"/>
  <c r="G36" i="11"/>
  <c r="J21" i="11"/>
  <c r="J23" i="11"/>
  <c r="J19" i="11"/>
  <c r="J20" i="11" s="1"/>
  <c r="J17" i="11"/>
  <c r="J18" i="11" s="1"/>
  <c r="J67" i="13"/>
  <c r="J58" i="12"/>
  <c r="J57" i="12"/>
  <c r="J55" i="12"/>
  <c r="J46" i="12"/>
  <c r="J44" i="12"/>
  <c r="J39" i="12"/>
  <c r="J40" i="12"/>
  <c r="J41" i="12"/>
  <c r="J42" i="12"/>
  <c r="J37" i="12"/>
  <c r="J38" i="12"/>
  <c r="J36" i="12"/>
  <c r="J36" i="6"/>
  <c r="J37" i="6"/>
  <c r="J38" i="6"/>
  <c r="J35" i="6"/>
  <c r="D34" i="6"/>
  <c r="E34" i="6"/>
  <c r="F34" i="6"/>
  <c r="G34" i="6"/>
  <c r="H34" i="6"/>
  <c r="I34" i="6"/>
  <c r="J20" i="6"/>
  <c r="J21" i="6"/>
  <c r="J23" i="6"/>
  <c r="J24" i="6"/>
  <c r="J19" i="6"/>
  <c r="J48" i="5"/>
  <c r="J50" i="5"/>
  <c r="J51" i="5"/>
  <c r="J52" i="5"/>
  <c r="J53" i="5"/>
  <c r="J54" i="5"/>
  <c r="J42" i="5"/>
  <c r="J45" i="5"/>
  <c r="J46" i="5"/>
  <c r="J41" i="5"/>
  <c r="J37" i="5"/>
  <c r="J38" i="5"/>
  <c r="J39" i="5"/>
  <c r="G34" i="5"/>
  <c r="G40" i="5" s="1"/>
  <c r="G47" i="5" s="1"/>
  <c r="G55" i="5" s="1"/>
  <c r="H34" i="5"/>
  <c r="H40" i="5" s="1"/>
  <c r="H47" i="5" s="1"/>
  <c r="H55" i="5" s="1"/>
  <c r="I34" i="5"/>
  <c r="I40" i="5" s="1"/>
  <c r="I47" i="5" s="1"/>
  <c r="I55" i="5" s="1"/>
  <c r="J36" i="5"/>
  <c r="J35" i="5"/>
  <c r="K26" i="15"/>
  <c r="I36" i="2"/>
  <c r="I45" i="2" s="1"/>
  <c r="I57" i="2" s="1"/>
  <c r="I59" i="2" s="1"/>
  <c r="J36" i="2"/>
  <c r="J45" i="2" s="1"/>
  <c r="J57" i="2" s="1"/>
  <c r="J59" i="2" s="1"/>
  <c r="J14" i="39"/>
  <c r="J20" i="44"/>
  <c r="J20" i="39"/>
  <c r="J20" i="12"/>
  <c r="J22" i="5"/>
  <c r="J19" i="44"/>
  <c r="J19" i="39"/>
  <c r="J19" i="12"/>
  <c r="J21" i="5"/>
  <c r="J25" i="5" s="1"/>
  <c r="J34" i="5" s="1"/>
  <c r="J18" i="44"/>
  <c r="J18" i="39"/>
  <c r="J18" i="12"/>
  <c r="J17" i="44"/>
  <c r="J17" i="39"/>
  <c r="J17" i="12"/>
  <c r="J18" i="5"/>
  <c r="K23" i="2"/>
  <c r="J16" i="44"/>
  <c r="J16" i="39"/>
  <c r="J13" i="49"/>
  <c r="K13" i="49" s="1"/>
  <c r="I11" i="49"/>
  <c r="H11" i="49"/>
  <c r="G11" i="49"/>
  <c r="F11" i="49"/>
  <c r="E11" i="49"/>
  <c r="D11" i="49"/>
  <c r="C11" i="49"/>
  <c r="B11" i="49"/>
  <c r="K9" i="49"/>
  <c r="K10" i="49" s="1"/>
  <c r="J8" i="49"/>
  <c r="J7" i="49"/>
  <c r="K7" i="49" s="1"/>
  <c r="I11" i="48"/>
  <c r="H11" i="48"/>
  <c r="G11" i="48"/>
  <c r="F11" i="48"/>
  <c r="E11" i="48"/>
  <c r="D11" i="48"/>
  <c r="C11" i="48"/>
  <c r="B11" i="48"/>
  <c r="J8" i="48"/>
  <c r="J7" i="48"/>
  <c r="K7" i="48" s="1"/>
  <c r="K26" i="48" s="1"/>
  <c r="K9" i="48"/>
  <c r="K10" i="48" s="1"/>
  <c r="J13" i="47"/>
  <c r="J23" i="47" s="1"/>
  <c r="I11" i="47"/>
  <c r="H11" i="47"/>
  <c r="G11" i="47"/>
  <c r="F11" i="47"/>
  <c r="E11" i="47"/>
  <c r="D11" i="47"/>
  <c r="C11" i="47"/>
  <c r="B11" i="47"/>
  <c r="K9" i="47"/>
  <c r="K10" i="47" s="1"/>
  <c r="J8" i="47"/>
  <c r="J7" i="47"/>
  <c r="J13" i="46"/>
  <c r="K13" i="46" s="1"/>
  <c r="I11" i="46"/>
  <c r="H11" i="46"/>
  <c r="G11" i="46"/>
  <c r="F11" i="46"/>
  <c r="E11" i="46"/>
  <c r="D11" i="46"/>
  <c r="C11" i="46"/>
  <c r="B11" i="46"/>
  <c r="K9" i="46"/>
  <c r="K10" i="46" s="1"/>
  <c r="J8" i="46"/>
  <c r="J7" i="46"/>
  <c r="K7" i="46" s="1"/>
  <c r="K26" i="46" s="1"/>
  <c r="K7" i="47"/>
  <c r="J23" i="44"/>
  <c r="J23" i="39"/>
  <c r="J36" i="21"/>
  <c r="J22" i="10"/>
  <c r="J22" i="44"/>
  <c r="J21" i="39"/>
  <c r="G34" i="21"/>
  <c r="H34" i="21"/>
  <c r="I34" i="21"/>
  <c r="J23" i="21"/>
  <c r="J21" i="10"/>
  <c r="J35" i="12"/>
  <c r="J45" i="13"/>
  <c r="J58" i="13" s="1"/>
  <c r="J21" i="21"/>
  <c r="J20" i="21"/>
  <c r="J19" i="21"/>
  <c r="J18" i="21"/>
  <c r="J17" i="21"/>
  <c r="J20" i="10"/>
  <c r="J19" i="10"/>
  <c r="J18" i="10"/>
  <c r="J17" i="10"/>
  <c r="J16" i="10"/>
  <c r="E34" i="13"/>
  <c r="F34" i="13"/>
  <c r="G34" i="13"/>
  <c r="H34" i="13"/>
  <c r="I34" i="13"/>
  <c r="J23" i="13"/>
  <c r="J22" i="13"/>
  <c r="J21" i="13"/>
  <c r="J20" i="13"/>
  <c r="J16" i="12"/>
  <c r="J17" i="5"/>
  <c r="K18" i="2"/>
  <c r="J15" i="44"/>
  <c r="J15" i="39"/>
  <c r="J16" i="21"/>
  <c r="J15" i="10"/>
  <c r="J19" i="13"/>
  <c r="J15" i="12"/>
  <c r="D34" i="12"/>
  <c r="D45" i="12" s="1"/>
  <c r="D56" i="12" s="1"/>
  <c r="D59" i="12" s="1"/>
  <c r="E34" i="12"/>
  <c r="F34" i="12"/>
  <c r="F45" i="12" s="1"/>
  <c r="F56" i="12" s="1"/>
  <c r="G34" i="12"/>
  <c r="H34" i="12"/>
  <c r="H45" i="12" s="1"/>
  <c r="H56" i="12" s="1"/>
  <c r="I34" i="12"/>
  <c r="C34" i="12"/>
  <c r="J16" i="5"/>
  <c r="D34" i="5"/>
  <c r="D40" i="5" s="1"/>
  <c r="D47" i="5" s="1"/>
  <c r="D55" i="5" s="1"/>
  <c r="F34" i="5"/>
  <c r="F40" i="5" s="1"/>
  <c r="F47" i="5" s="1"/>
  <c r="F55" i="5" s="1"/>
  <c r="K17" i="2"/>
  <c r="E36" i="2"/>
  <c r="E45" i="2" s="1"/>
  <c r="E57" i="2" s="1"/>
  <c r="E59" i="2" s="1"/>
  <c r="G36" i="2"/>
  <c r="G45" i="2" s="1"/>
  <c r="G57" i="2" s="1"/>
  <c r="G59" i="2" s="1"/>
  <c r="H36" i="2"/>
  <c r="H45" i="2" s="1"/>
  <c r="H57" i="2" s="1"/>
  <c r="H59" i="2" s="1"/>
  <c r="C36" i="2"/>
  <c r="C45" i="2" s="1"/>
  <c r="C57" i="2" s="1"/>
  <c r="C59" i="2" s="1"/>
  <c r="D21" i="44"/>
  <c r="D25" i="44" s="1"/>
  <c r="D34" i="44" s="1"/>
  <c r="D39" i="44" s="1"/>
  <c r="D44" i="44" s="1"/>
  <c r="D53" i="44" s="1"/>
  <c r="D57" i="44" s="1"/>
  <c r="D65" i="44" s="1"/>
  <c r="D67" i="44" s="1"/>
  <c r="D72" i="44" s="1"/>
  <c r="D78" i="44" s="1"/>
  <c r="D87" i="44" s="1"/>
  <c r="C21" i="44"/>
  <c r="C25" i="44" s="1"/>
  <c r="C34" i="44" s="1"/>
  <c r="C39" i="44" s="1"/>
  <c r="C44" i="44" s="1"/>
  <c r="C53" i="44" s="1"/>
  <c r="C57" i="44" s="1"/>
  <c r="C65" i="44" s="1"/>
  <c r="C67" i="44" s="1"/>
  <c r="C72" i="44" s="1"/>
  <c r="C78" i="44" s="1"/>
  <c r="C87" i="44" s="1"/>
  <c r="D34" i="39"/>
  <c r="E34" i="39"/>
  <c r="F34" i="39"/>
  <c r="G34" i="39"/>
  <c r="H34" i="39"/>
  <c r="I34" i="39"/>
  <c r="C34" i="39"/>
  <c r="J15" i="21"/>
  <c r="D34" i="21"/>
  <c r="E34" i="21"/>
  <c r="F34" i="21"/>
  <c r="C34" i="21"/>
  <c r="J18" i="13"/>
  <c r="J17" i="13"/>
  <c r="J23" i="45"/>
  <c r="C23" i="45"/>
  <c r="J14" i="45"/>
  <c r="J13" i="45"/>
  <c r="K13" i="45" s="1"/>
  <c r="I11" i="45"/>
  <c r="H11" i="45"/>
  <c r="G11" i="45"/>
  <c r="F11" i="45"/>
  <c r="E11" i="45"/>
  <c r="D11" i="45"/>
  <c r="C11" i="45"/>
  <c r="B11" i="45"/>
  <c r="J8" i="45"/>
  <c r="J7" i="45"/>
  <c r="K9" i="45"/>
  <c r="K10" i="45" s="1"/>
  <c r="D34" i="13"/>
  <c r="C34" i="13"/>
  <c r="C36" i="11"/>
  <c r="C34" i="6"/>
  <c r="C39" i="6" s="1"/>
  <c r="J14" i="12"/>
  <c r="J15" i="5"/>
  <c r="K16" i="2"/>
  <c r="J16" i="13"/>
  <c r="J13" i="11"/>
  <c r="J14" i="6"/>
  <c r="J13" i="14"/>
  <c r="K13" i="14" s="1"/>
  <c r="K14" i="14" s="1"/>
  <c r="K15" i="2"/>
  <c r="J13" i="39"/>
  <c r="J14" i="5"/>
  <c r="K14" i="2"/>
  <c r="J13" i="44"/>
  <c r="I11" i="44"/>
  <c r="H11" i="44"/>
  <c r="G11" i="44"/>
  <c r="F11" i="44"/>
  <c r="E11" i="44"/>
  <c r="D11" i="44"/>
  <c r="C11" i="44"/>
  <c r="B11" i="44"/>
  <c r="J8" i="44"/>
  <c r="J7" i="44"/>
  <c r="K7" i="44" s="1"/>
  <c r="K9" i="44"/>
  <c r="K10" i="44" s="1"/>
  <c r="J13" i="21"/>
  <c r="J15" i="13"/>
  <c r="J14" i="13"/>
  <c r="J13" i="13"/>
  <c r="J13" i="12"/>
  <c r="J13" i="5"/>
  <c r="K13" i="2"/>
  <c r="J13" i="6"/>
  <c r="L9" i="2"/>
  <c r="L10" i="2"/>
  <c r="J43" i="13"/>
  <c r="J13" i="43"/>
  <c r="K13" i="43" s="1"/>
  <c r="K14" i="43" s="1"/>
  <c r="K15" i="43" s="1"/>
  <c r="K16" i="43" s="1"/>
  <c r="I11" i="43"/>
  <c r="H11" i="43"/>
  <c r="G11" i="43"/>
  <c r="F11" i="43"/>
  <c r="E11" i="43"/>
  <c r="D11" i="43"/>
  <c r="C11" i="43"/>
  <c r="B11" i="43"/>
  <c r="J8" i="43"/>
  <c r="J7" i="43"/>
  <c r="J13" i="41"/>
  <c r="K13" i="41" s="1"/>
  <c r="K14" i="41" s="1"/>
  <c r="I11" i="41"/>
  <c r="H11" i="41"/>
  <c r="G11" i="41"/>
  <c r="F11" i="41"/>
  <c r="E11" i="41"/>
  <c r="D11" i="41"/>
  <c r="C11" i="41"/>
  <c r="B11" i="41"/>
  <c r="J8" i="41"/>
  <c r="J7" i="41"/>
  <c r="J11" i="41" s="1"/>
  <c r="I11" i="6"/>
  <c r="I89" i="6" s="1"/>
  <c r="H11" i="6"/>
  <c r="H89" i="6" s="1"/>
  <c r="G11" i="6"/>
  <c r="G89" i="6" s="1"/>
  <c r="F11" i="6"/>
  <c r="F89" i="6" s="1"/>
  <c r="E11" i="6"/>
  <c r="E89" i="6" s="1"/>
  <c r="D11" i="6"/>
  <c r="D89" i="6" s="1"/>
  <c r="C11" i="6"/>
  <c r="B11" i="6"/>
  <c r="J8" i="6"/>
  <c r="J7" i="6"/>
  <c r="K7" i="6" s="1"/>
  <c r="J13" i="15"/>
  <c r="K13" i="15" s="1"/>
  <c r="I11" i="15"/>
  <c r="H11" i="15"/>
  <c r="G11" i="15"/>
  <c r="F11" i="15"/>
  <c r="E11" i="15"/>
  <c r="D11" i="15"/>
  <c r="C11" i="15"/>
  <c r="B11" i="15"/>
  <c r="J8" i="15"/>
  <c r="J7" i="15"/>
  <c r="J13" i="37"/>
  <c r="I11" i="37"/>
  <c r="H11" i="37"/>
  <c r="G11" i="37"/>
  <c r="F11" i="37"/>
  <c r="E11" i="37"/>
  <c r="D11" i="37"/>
  <c r="C11" i="37"/>
  <c r="B11" i="37"/>
  <c r="J8" i="37"/>
  <c r="J7" i="37"/>
  <c r="J13" i="38"/>
  <c r="K13" i="38" s="1"/>
  <c r="K14" i="38" s="1"/>
  <c r="K15" i="38" s="1"/>
  <c r="K16" i="38" s="1"/>
  <c r="I11" i="38"/>
  <c r="H11" i="38"/>
  <c r="G11" i="38"/>
  <c r="F11" i="38"/>
  <c r="E11" i="38"/>
  <c r="D11" i="38"/>
  <c r="C11" i="38"/>
  <c r="B11" i="38"/>
  <c r="J8" i="38"/>
  <c r="J7" i="38"/>
  <c r="J11" i="38" s="1"/>
  <c r="J13" i="34"/>
  <c r="K13" i="34" s="1"/>
  <c r="I11" i="34"/>
  <c r="H11" i="34"/>
  <c r="G11" i="34"/>
  <c r="F11" i="34"/>
  <c r="E11" i="34"/>
  <c r="D11" i="34"/>
  <c r="C11" i="34"/>
  <c r="B11" i="34"/>
  <c r="J8" i="34"/>
  <c r="J11" i="34" s="1"/>
  <c r="J7" i="34"/>
  <c r="J13" i="23"/>
  <c r="K13" i="23" s="1"/>
  <c r="K14" i="23" s="1"/>
  <c r="I11" i="23"/>
  <c r="H11" i="23"/>
  <c r="G11" i="23"/>
  <c r="F11" i="23"/>
  <c r="E11" i="23"/>
  <c r="D11" i="23"/>
  <c r="C11" i="23"/>
  <c r="B11" i="23"/>
  <c r="J8" i="23"/>
  <c r="J7" i="23"/>
  <c r="J11" i="23" s="1"/>
  <c r="J13" i="24"/>
  <c r="I11" i="24"/>
  <c r="H11" i="24"/>
  <c r="G11" i="24"/>
  <c r="F11" i="24"/>
  <c r="E11" i="24"/>
  <c r="D11" i="24"/>
  <c r="C11" i="24"/>
  <c r="B11" i="24"/>
  <c r="J8" i="24"/>
  <c r="J7" i="24"/>
  <c r="J13" i="25"/>
  <c r="K13" i="25" s="1"/>
  <c r="I11" i="25"/>
  <c r="H11" i="25"/>
  <c r="G11" i="25"/>
  <c r="F11" i="25"/>
  <c r="E11" i="25"/>
  <c r="D11" i="25"/>
  <c r="B11" i="25"/>
  <c r="J8" i="25"/>
  <c r="J7" i="25"/>
  <c r="J13" i="27"/>
  <c r="K13" i="27" s="1"/>
  <c r="K16" i="27" s="1"/>
  <c r="I11" i="27"/>
  <c r="H11" i="27"/>
  <c r="G11" i="27"/>
  <c r="F11" i="27"/>
  <c r="E11" i="27"/>
  <c r="D11" i="27"/>
  <c r="C11" i="27"/>
  <c r="B11" i="27"/>
  <c r="J8" i="27"/>
  <c r="J7" i="27"/>
  <c r="J13" i="28"/>
  <c r="K13" i="28" s="1"/>
  <c r="K14" i="28" s="1"/>
  <c r="I11" i="28"/>
  <c r="H11" i="28"/>
  <c r="G11" i="28"/>
  <c r="F11" i="28"/>
  <c r="E11" i="28"/>
  <c r="D11" i="28"/>
  <c r="C11" i="28"/>
  <c r="B11" i="28"/>
  <c r="J8" i="28"/>
  <c r="J7" i="28"/>
  <c r="J11" i="28" s="1"/>
  <c r="J13" i="29"/>
  <c r="K13" i="29" s="1"/>
  <c r="I11" i="29"/>
  <c r="H11" i="29"/>
  <c r="G11" i="29"/>
  <c r="F11" i="29"/>
  <c r="E11" i="29"/>
  <c r="D11" i="29"/>
  <c r="C11" i="29"/>
  <c r="B11" i="29"/>
  <c r="J8" i="29"/>
  <c r="J7" i="29"/>
  <c r="K7" i="29" s="1"/>
  <c r="J13" i="30"/>
  <c r="I11" i="30"/>
  <c r="I57" i="30" s="1"/>
  <c r="H11" i="30"/>
  <c r="H57" i="30" s="1"/>
  <c r="G11" i="30"/>
  <c r="G57" i="30" s="1"/>
  <c r="F11" i="30"/>
  <c r="F57" i="30" s="1"/>
  <c r="E11" i="30"/>
  <c r="E57" i="30" s="1"/>
  <c r="D11" i="30"/>
  <c r="D57" i="30" s="1"/>
  <c r="C11" i="30"/>
  <c r="B11" i="30"/>
  <c r="J8" i="30"/>
  <c r="J7" i="30"/>
  <c r="J13" i="17"/>
  <c r="K13" i="17" s="1"/>
  <c r="I11" i="17"/>
  <c r="H11" i="17"/>
  <c r="G11" i="17"/>
  <c r="F11" i="17"/>
  <c r="E11" i="17"/>
  <c r="D11" i="17"/>
  <c r="C11" i="17"/>
  <c r="B11" i="17"/>
  <c r="J8" i="17"/>
  <c r="J7" i="17"/>
  <c r="K7" i="17" s="1"/>
  <c r="K9" i="17" s="1"/>
  <c r="K10" i="17" s="1"/>
  <c r="J13" i="18"/>
  <c r="K13" i="18" s="1"/>
  <c r="K14" i="18" s="1"/>
  <c r="K15" i="18" s="1"/>
  <c r="K16" i="18" s="1"/>
  <c r="I11" i="18"/>
  <c r="H11" i="18"/>
  <c r="G11" i="18"/>
  <c r="F11" i="18"/>
  <c r="E11" i="18"/>
  <c r="D11" i="18"/>
  <c r="C11" i="18"/>
  <c r="B11" i="18"/>
  <c r="J8" i="18"/>
  <c r="J7" i="18"/>
  <c r="K7" i="18" s="1"/>
  <c r="I11" i="21"/>
  <c r="H11" i="21"/>
  <c r="G11" i="21"/>
  <c r="F11" i="21"/>
  <c r="E11" i="21"/>
  <c r="D11" i="21"/>
  <c r="C11" i="21"/>
  <c r="B11" i="21"/>
  <c r="J8" i="21"/>
  <c r="J7" i="21"/>
  <c r="K7" i="21" s="1"/>
  <c r="J13" i="22"/>
  <c r="I11" i="22"/>
  <c r="H11" i="22"/>
  <c r="G11" i="22"/>
  <c r="F11" i="22"/>
  <c r="E11" i="22"/>
  <c r="D11" i="22"/>
  <c r="C11" i="22"/>
  <c r="B11" i="22"/>
  <c r="J8" i="22"/>
  <c r="J7" i="22"/>
  <c r="J12" i="39"/>
  <c r="I10" i="39"/>
  <c r="H10" i="39"/>
  <c r="G10" i="39"/>
  <c r="F10" i="39"/>
  <c r="E10" i="39"/>
  <c r="D10" i="39"/>
  <c r="C10" i="39"/>
  <c r="B10" i="39"/>
  <c r="J7" i="39"/>
  <c r="K6" i="39"/>
  <c r="J13" i="10"/>
  <c r="I11" i="10"/>
  <c r="H11" i="10"/>
  <c r="G11" i="10"/>
  <c r="F11" i="10"/>
  <c r="E11" i="10"/>
  <c r="D11" i="10"/>
  <c r="C11" i="10"/>
  <c r="B11" i="10"/>
  <c r="J8" i="10"/>
  <c r="J7" i="10"/>
  <c r="I10" i="11"/>
  <c r="H10" i="11"/>
  <c r="G10" i="11"/>
  <c r="F10" i="11"/>
  <c r="E10" i="11"/>
  <c r="D10" i="11"/>
  <c r="C10" i="11"/>
  <c r="J7" i="11"/>
  <c r="J6" i="11"/>
  <c r="K6" i="11" s="1"/>
  <c r="I11" i="12"/>
  <c r="H11" i="12"/>
  <c r="G11" i="12"/>
  <c r="F11" i="12"/>
  <c r="E11" i="12"/>
  <c r="D11" i="12"/>
  <c r="C11" i="12"/>
  <c r="B11" i="12"/>
  <c r="J8" i="12"/>
  <c r="J7" i="12"/>
  <c r="I11" i="13"/>
  <c r="H11" i="13"/>
  <c r="G11" i="13"/>
  <c r="F11" i="13"/>
  <c r="E11" i="13"/>
  <c r="D11" i="13"/>
  <c r="C11" i="13"/>
  <c r="J8" i="13"/>
  <c r="J7" i="13"/>
  <c r="K7" i="13" s="1"/>
  <c r="J13" i="9"/>
  <c r="K13" i="9" s="1"/>
  <c r="K17" i="9" s="1"/>
  <c r="I11" i="9"/>
  <c r="I29" i="9" s="1"/>
  <c r="H11" i="9"/>
  <c r="H29" i="9" s="1"/>
  <c r="G11" i="9"/>
  <c r="G29" i="9" s="1"/>
  <c r="F11" i="9"/>
  <c r="F29" i="9" s="1"/>
  <c r="E11" i="9"/>
  <c r="E29" i="9" s="1"/>
  <c r="D11" i="9"/>
  <c r="D29" i="9" s="1"/>
  <c r="C11" i="9"/>
  <c r="C29" i="9" s="1"/>
  <c r="B11" i="9"/>
  <c r="J8" i="9"/>
  <c r="J7" i="9"/>
  <c r="J13" i="8"/>
  <c r="K13" i="8" s="1"/>
  <c r="I11" i="8"/>
  <c r="H11" i="8"/>
  <c r="G11" i="8"/>
  <c r="F11" i="8"/>
  <c r="E11" i="8"/>
  <c r="D11" i="8"/>
  <c r="C11" i="8"/>
  <c r="B11" i="8"/>
  <c r="J8" i="8"/>
  <c r="J7" i="8"/>
  <c r="J13" i="7"/>
  <c r="K13" i="7" s="1"/>
  <c r="I11" i="7"/>
  <c r="H11" i="7"/>
  <c r="G11" i="7"/>
  <c r="F11" i="7"/>
  <c r="E11" i="7"/>
  <c r="D11" i="7"/>
  <c r="C11" i="7"/>
  <c r="B11" i="7"/>
  <c r="J8" i="7"/>
  <c r="J7" i="7"/>
  <c r="K7" i="7" s="1"/>
  <c r="K8" i="7" s="1"/>
  <c r="K9" i="7" s="1"/>
  <c r="K10" i="7" s="1"/>
  <c r="I11" i="5"/>
  <c r="H11" i="5"/>
  <c r="G11" i="5"/>
  <c r="F11" i="5"/>
  <c r="E11" i="5"/>
  <c r="D11" i="5"/>
  <c r="C11" i="5"/>
  <c r="B11" i="5"/>
  <c r="J8" i="5"/>
  <c r="J7" i="5"/>
  <c r="I11" i="14"/>
  <c r="H11" i="14"/>
  <c r="G11" i="14"/>
  <c r="F11" i="14"/>
  <c r="E11" i="14"/>
  <c r="D11" i="14"/>
  <c r="C11" i="14"/>
  <c r="B11" i="14"/>
  <c r="J8" i="14"/>
  <c r="J7" i="14"/>
  <c r="K7" i="14" s="1"/>
  <c r="J11" i="2"/>
  <c r="I11" i="2"/>
  <c r="H11" i="2"/>
  <c r="G11" i="2"/>
  <c r="F11" i="2"/>
  <c r="E11" i="2"/>
  <c r="D11" i="2"/>
  <c r="C11" i="2"/>
  <c r="K8" i="2"/>
  <c r="L8" i="2" s="1"/>
  <c r="K7" i="2"/>
  <c r="L7" i="2" s="1"/>
  <c r="J14" i="43"/>
  <c r="K7" i="37"/>
  <c r="K9" i="37"/>
  <c r="K10" i="37" s="1"/>
  <c r="K13" i="37"/>
  <c r="K14" i="37" s="1"/>
  <c r="J14" i="37"/>
  <c r="J16" i="38"/>
  <c r="K13" i="24"/>
  <c r="K13" i="22"/>
  <c r="K13" i="10"/>
  <c r="K14" i="10" s="1"/>
  <c r="K9" i="5"/>
  <c r="K10" i="5" s="1"/>
  <c r="J11" i="25"/>
  <c r="K7" i="41"/>
  <c r="K9" i="14"/>
  <c r="K10" i="14" s="1"/>
  <c r="K7" i="15"/>
  <c r="K9" i="15"/>
  <c r="K10" i="15" s="1"/>
  <c r="K7" i="34"/>
  <c r="K8" i="34" s="1"/>
  <c r="K9" i="34" s="1"/>
  <c r="K10" i="34" s="1"/>
  <c r="K7" i="24"/>
  <c r="K9" i="24"/>
  <c r="K10" i="24" s="1"/>
  <c r="K7" i="25"/>
  <c r="K8" i="25" s="1"/>
  <c r="K9" i="25" s="1"/>
  <c r="K10" i="25" s="1"/>
  <c r="K7" i="27"/>
  <c r="K9" i="21"/>
  <c r="K10" i="21" s="1"/>
  <c r="K7" i="22"/>
  <c r="K8" i="39"/>
  <c r="K9" i="39" s="1"/>
  <c r="K8" i="11"/>
  <c r="K9" i="11" s="1"/>
  <c r="K9" i="12"/>
  <c r="K10" i="12" s="1"/>
  <c r="K9" i="9"/>
  <c r="K10" i="9" s="1"/>
  <c r="K7" i="8"/>
  <c r="K10" i="8"/>
  <c r="K9" i="43"/>
  <c r="K10" i="43" s="1"/>
  <c r="K9" i="38"/>
  <c r="K10" i="38" s="1"/>
  <c r="K9" i="23"/>
  <c r="K10" i="23" s="1"/>
  <c r="K9" i="41"/>
  <c r="K10" i="41" s="1"/>
  <c r="K9" i="28"/>
  <c r="K10" i="28" s="1"/>
  <c r="K9" i="22"/>
  <c r="K10" i="22" s="1"/>
  <c r="K9" i="18"/>
  <c r="K10" i="18" s="1"/>
  <c r="K9" i="30"/>
  <c r="K10" i="30" s="1"/>
  <c r="K9" i="13"/>
  <c r="K10" i="13" s="1"/>
  <c r="K9" i="10"/>
  <c r="K10" i="10" s="1"/>
  <c r="K9" i="27"/>
  <c r="K10" i="27" s="1"/>
  <c r="I27" i="2" l="1"/>
  <c r="J128" i="2"/>
  <c r="J110" i="10"/>
  <c r="J114" i="39"/>
  <c r="G87" i="5"/>
  <c r="G57" i="5"/>
  <c r="I87" i="5"/>
  <c r="I57" i="5"/>
  <c r="D57" i="5"/>
  <c r="F57" i="5"/>
  <c r="H57" i="5"/>
  <c r="J47" i="5"/>
  <c r="I51" i="11"/>
  <c r="J48" i="11"/>
  <c r="C27" i="5"/>
  <c r="E27" i="5"/>
  <c r="G27" i="5"/>
  <c r="I27" i="5"/>
  <c r="D27" i="5"/>
  <c r="F27" i="5"/>
  <c r="H27" i="5"/>
  <c r="J40" i="5"/>
  <c r="J120" i="5"/>
  <c r="J128" i="5" s="1"/>
  <c r="K13" i="30"/>
  <c r="J15" i="30"/>
  <c r="J11" i="24"/>
  <c r="J11" i="27"/>
  <c r="K11" i="28"/>
  <c r="J11" i="17"/>
  <c r="J20" i="22"/>
  <c r="J11" i="22"/>
  <c r="K13" i="5"/>
  <c r="K14" i="5" s="1"/>
  <c r="J20" i="5"/>
  <c r="K14" i="30"/>
  <c r="J107" i="21"/>
  <c r="J11" i="29"/>
  <c r="I45" i="12"/>
  <c r="I56" i="12" s="1"/>
  <c r="I59" i="12" s="1"/>
  <c r="I66" i="12" s="1"/>
  <c r="I75" i="12" s="1"/>
  <c r="I86" i="12" s="1"/>
  <c r="I91" i="12" s="1"/>
  <c r="I99" i="12" s="1"/>
  <c r="I108" i="12" s="1"/>
  <c r="I116" i="12" s="1"/>
  <c r="I121" i="12" s="1"/>
  <c r="I124" i="12" s="1"/>
  <c r="G45" i="12"/>
  <c r="G56" i="12" s="1"/>
  <c r="G59" i="12" s="1"/>
  <c r="G66" i="12" s="1"/>
  <c r="G75" i="12" s="1"/>
  <c r="G86" i="12" s="1"/>
  <c r="G91" i="12" s="1"/>
  <c r="G99" i="12" s="1"/>
  <c r="G108" i="12" s="1"/>
  <c r="G116" i="12" s="1"/>
  <c r="G121" i="12" s="1"/>
  <c r="G124" i="12" s="1"/>
  <c r="E45" i="12"/>
  <c r="E56" i="12" s="1"/>
  <c r="E59" i="12" s="1"/>
  <c r="E66" i="12" s="1"/>
  <c r="E75" i="12" s="1"/>
  <c r="E86" i="12" s="1"/>
  <c r="E91" i="12" s="1"/>
  <c r="E99" i="12" s="1"/>
  <c r="E108" i="12" s="1"/>
  <c r="E116" i="12" s="1"/>
  <c r="E121" i="12" s="1"/>
  <c r="E124" i="12" s="1"/>
  <c r="C45" i="12"/>
  <c r="C56" i="12" s="1"/>
  <c r="J45" i="12"/>
  <c r="J59" i="12"/>
  <c r="J86" i="12"/>
  <c r="J99" i="12" s="1"/>
  <c r="J108" i="12" s="1"/>
  <c r="I39" i="39"/>
  <c r="I46" i="39" s="1"/>
  <c r="G39" i="39"/>
  <c r="G46" i="39" s="1"/>
  <c r="E39" i="39"/>
  <c r="E46" i="39" s="1"/>
  <c r="C39" i="39"/>
  <c r="C46" i="39" s="1"/>
  <c r="H39" i="39"/>
  <c r="H46" i="39" s="1"/>
  <c r="F39" i="39"/>
  <c r="F46" i="39" s="1"/>
  <c r="D39" i="39"/>
  <c r="D46" i="39" s="1"/>
  <c r="J25" i="10"/>
  <c r="J34" i="10" s="1"/>
  <c r="J25" i="39"/>
  <c r="J34" i="39" s="1"/>
  <c r="J39" i="39" s="1"/>
  <c r="J10" i="11"/>
  <c r="K10" i="11" s="1"/>
  <c r="J46" i="6"/>
  <c r="D53" i="6"/>
  <c r="D57" i="6" s="1"/>
  <c r="D66" i="6" s="1"/>
  <c r="J22" i="6"/>
  <c r="J25" i="6"/>
  <c r="J34" i="6" s="1"/>
  <c r="J39" i="6" s="1"/>
  <c r="K11" i="41"/>
  <c r="K9" i="29"/>
  <c r="K10" i="29" s="1"/>
  <c r="K7" i="23"/>
  <c r="K26" i="23" s="1"/>
  <c r="J11" i="18"/>
  <c r="K18" i="22"/>
  <c r="K19" i="22" s="1"/>
  <c r="K20" i="22" s="1"/>
  <c r="K23" i="22" s="1"/>
  <c r="K14" i="17"/>
  <c r="K15" i="17" s="1"/>
  <c r="J11" i="43"/>
  <c r="J11" i="48"/>
  <c r="K11" i="48" s="1"/>
  <c r="K14" i="49"/>
  <c r="K15" i="49" s="1"/>
  <c r="J11" i="53"/>
  <c r="K11" i="53" s="1"/>
  <c r="K8" i="51"/>
  <c r="K9" i="51" s="1"/>
  <c r="K10" i="51" s="1"/>
  <c r="J11" i="52"/>
  <c r="K168" i="2"/>
  <c r="K11" i="17"/>
  <c r="K11" i="23"/>
  <c r="J14" i="23"/>
  <c r="J27" i="38"/>
  <c r="K16" i="17"/>
  <c r="K17" i="17" s="1"/>
  <c r="K19" i="17" s="1"/>
  <c r="K7" i="53"/>
  <c r="K11" i="18"/>
  <c r="K11" i="38"/>
  <c r="K11" i="25"/>
  <c r="K7" i="43"/>
  <c r="K26" i="43" s="1"/>
  <c r="J11" i="9"/>
  <c r="K11" i="9" s="1"/>
  <c r="J22" i="39"/>
  <c r="K17" i="18"/>
  <c r="K18" i="18" s="1"/>
  <c r="K19" i="18" s="1"/>
  <c r="K20" i="18" s="1"/>
  <c r="K21" i="18" s="1"/>
  <c r="K22" i="18" s="1"/>
  <c r="K23" i="18" s="1"/>
  <c r="K26" i="18" s="1"/>
  <c r="J11" i="30"/>
  <c r="K11" i="30" s="1"/>
  <c r="J11" i="15"/>
  <c r="K11" i="15" s="1"/>
  <c r="K15" i="14"/>
  <c r="K16" i="14" s="1"/>
  <c r="J42" i="30"/>
  <c r="J109" i="5"/>
  <c r="K16" i="45"/>
  <c r="K17" i="45" s="1"/>
  <c r="K18" i="45" s="1"/>
  <c r="K19" i="45" s="1"/>
  <c r="K11" i="27"/>
  <c r="K11" i="22"/>
  <c r="K7" i="28"/>
  <c r="K26" i="28" s="1"/>
  <c r="K7" i="38"/>
  <c r="J11" i="8"/>
  <c r="K11" i="8" s="1"/>
  <c r="J11" i="45"/>
  <c r="K45" i="2"/>
  <c r="J11" i="50"/>
  <c r="K11" i="50" s="1"/>
  <c r="K8" i="52"/>
  <c r="K9" i="52" s="1"/>
  <c r="K10" i="52" s="1"/>
  <c r="E69" i="2"/>
  <c r="E77" i="2" s="1"/>
  <c r="E85" i="2" s="1"/>
  <c r="E93" i="2" s="1"/>
  <c r="G69" i="2"/>
  <c r="G77" i="2" s="1"/>
  <c r="G85" i="2" s="1"/>
  <c r="G93" i="2" s="1"/>
  <c r="K27" i="38"/>
  <c r="K11" i="34"/>
  <c r="K11" i="24"/>
  <c r="K11" i="45"/>
  <c r="J11" i="46"/>
  <c r="K11" i="46" s="1"/>
  <c r="C16" i="14"/>
  <c r="K26" i="14" s="1"/>
  <c r="C59" i="6"/>
  <c r="J11" i="14"/>
  <c r="K11" i="14" s="1"/>
  <c r="F38" i="21"/>
  <c r="F48" i="21" s="1"/>
  <c r="F56" i="21" s="1"/>
  <c r="F66" i="21" s="1"/>
  <c r="I38" i="21"/>
  <c r="I48" i="21" s="1"/>
  <c r="I56" i="21" s="1"/>
  <c r="I66" i="21" s="1"/>
  <c r="J11" i="7"/>
  <c r="K11" i="7" s="1"/>
  <c r="K13" i="6"/>
  <c r="K14" i="6" s="1"/>
  <c r="K15" i="6" s="1"/>
  <c r="J15" i="6"/>
  <c r="E38" i="21"/>
  <c r="E48" i="21" s="1"/>
  <c r="E56" i="21" s="1"/>
  <c r="E66" i="21" s="1"/>
  <c r="H38" i="21"/>
  <c r="H48" i="21" s="1"/>
  <c r="H56" i="21" s="1"/>
  <c r="H66" i="21" s="1"/>
  <c r="K7" i="50"/>
  <c r="K26" i="50" s="1"/>
  <c r="J20" i="45"/>
  <c r="J11" i="54"/>
  <c r="K11" i="54" s="1"/>
  <c r="J11" i="37"/>
  <c r="K11" i="37" s="1"/>
  <c r="K7" i="45"/>
  <c r="D38" i="21"/>
  <c r="D48" i="21" s="1"/>
  <c r="D56" i="21" s="1"/>
  <c r="D66" i="21" s="1"/>
  <c r="G38" i="21"/>
  <c r="G48" i="21" s="1"/>
  <c r="G56" i="21" s="1"/>
  <c r="G66" i="21" s="1"/>
  <c r="J11" i="47"/>
  <c r="K11" i="47" s="1"/>
  <c r="J11" i="51"/>
  <c r="K11" i="51" s="1"/>
  <c r="K11" i="43"/>
  <c r="K27" i="27"/>
  <c r="C38" i="21"/>
  <c r="C48" i="21" s="1"/>
  <c r="C56" i="21" s="1"/>
  <c r="C66" i="21" s="1"/>
  <c r="J14" i="11"/>
  <c r="L13" i="2"/>
  <c r="L14" i="2" s="1"/>
  <c r="K24" i="2"/>
  <c r="K36" i="2" s="1"/>
  <c r="K69" i="2" s="1"/>
  <c r="K77" i="2" s="1"/>
  <c r="K85" i="2" s="1"/>
  <c r="J26" i="48"/>
  <c r="K26" i="41"/>
  <c r="K26" i="49"/>
  <c r="J11" i="49"/>
  <c r="K11" i="49" s="1"/>
  <c r="J11" i="10"/>
  <c r="J24" i="21"/>
  <c r="J34" i="21" s="1"/>
  <c r="K13" i="13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34" i="13" s="1"/>
  <c r="J24" i="13"/>
  <c r="J34" i="13" s="1"/>
  <c r="J44" i="13" s="1"/>
  <c r="K7" i="10"/>
  <c r="D44" i="13"/>
  <c r="D58" i="13" s="1"/>
  <c r="D66" i="13" s="1"/>
  <c r="H44" i="13"/>
  <c r="H58" i="13" s="1"/>
  <c r="H66" i="13" s="1"/>
  <c r="F44" i="13"/>
  <c r="F58" i="13" s="1"/>
  <c r="F66" i="13" s="1"/>
  <c r="I44" i="13"/>
  <c r="I58" i="13" s="1"/>
  <c r="I66" i="13" s="1"/>
  <c r="G44" i="13"/>
  <c r="G58" i="13" s="1"/>
  <c r="G66" i="13" s="1"/>
  <c r="E44" i="13"/>
  <c r="E58" i="13" s="1"/>
  <c r="E66" i="13" s="1"/>
  <c r="J24" i="12"/>
  <c r="J34" i="12" s="1"/>
  <c r="C44" i="13"/>
  <c r="C58" i="13" s="1"/>
  <c r="C66" i="13" s="1"/>
  <c r="J67" i="10"/>
  <c r="J77" i="10" s="1"/>
  <c r="J99" i="10"/>
  <c r="K26" i="24"/>
  <c r="K26" i="26"/>
  <c r="K13" i="47"/>
  <c r="K14" i="47" s="1"/>
  <c r="K15" i="47" s="1"/>
  <c r="K13" i="44"/>
  <c r="K14" i="44" s="1"/>
  <c r="K15" i="44" s="1"/>
  <c r="K16" i="44" s="1"/>
  <c r="K17" i="44" s="1"/>
  <c r="K18" i="44" s="1"/>
  <c r="K19" i="44" s="1"/>
  <c r="K20" i="44" s="1"/>
  <c r="K21" i="44" s="1"/>
  <c r="K22" i="44" s="1"/>
  <c r="K23" i="44" s="1"/>
  <c r="K24" i="44" s="1"/>
  <c r="K25" i="44" s="1"/>
  <c r="K34" i="44" s="1"/>
  <c r="K35" i="44" s="1"/>
  <c r="K36" i="44" s="1"/>
  <c r="K37" i="44" s="1"/>
  <c r="K38" i="44" s="1"/>
  <c r="K7" i="30"/>
  <c r="J14" i="50"/>
  <c r="K20" i="45"/>
  <c r="K23" i="45"/>
  <c r="C68" i="11"/>
  <c r="C74" i="11" s="1"/>
  <c r="C91" i="11" s="1"/>
  <c r="K13" i="11"/>
  <c r="K14" i="11" s="1"/>
  <c r="K7" i="9"/>
  <c r="J62" i="2"/>
  <c r="K24" i="15"/>
  <c r="K190" i="2"/>
  <c r="H59" i="12"/>
  <c r="H66" i="12" s="1"/>
  <c r="F59" i="12"/>
  <c r="F66" i="12" s="1"/>
  <c r="D66" i="12"/>
  <c r="G27" i="2"/>
  <c r="J97" i="5"/>
  <c r="G66" i="5"/>
  <c r="G78" i="5" s="1"/>
  <c r="F66" i="5"/>
  <c r="F78" i="5" s="1"/>
  <c r="D66" i="5"/>
  <c r="D78" i="5" s="1"/>
  <c r="H66" i="5"/>
  <c r="H78" i="5" s="1"/>
  <c r="I66" i="5"/>
  <c r="I78" i="5" s="1"/>
  <c r="C90" i="44"/>
  <c r="C97" i="44"/>
  <c r="C102" i="44" s="1"/>
  <c r="C121" i="44" s="1"/>
  <c r="D90" i="44"/>
  <c r="D97" i="44"/>
  <c r="D102" i="44" s="1"/>
  <c r="D121" i="44" s="1"/>
  <c r="I90" i="44"/>
  <c r="I97" i="44"/>
  <c r="I102" i="44" s="1"/>
  <c r="I121" i="44" s="1"/>
  <c r="G90" i="44"/>
  <c r="G97" i="44"/>
  <c r="G102" i="44" s="1"/>
  <c r="G121" i="44" s="1"/>
  <c r="J21" i="44"/>
  <c r="F90" i="44"/>
  <c r="F97" i="44"/>
  <c r="F102" i="44" s="1"/>
  <c r="F121" i="44" s="1"/>
  <c r="H90" i="44"/>
  <c r="H97" i="44"/>
  <c r="H102" i="44" s="1"/>
  <c r="H121" i="44" s="1"/>
  <c r="E90" i="44"/>
  <c r="E97" i="44"/>
  <c r="E102" i="44" s="1"/>
  <c r="E121" i="44" s="1"/>
  <c r="J87" i="44"/>
  <c r="J97" i="44" s="1"/>
  <c r="J87" i="39"/>
  <c r="J97" i="39" s="1"/>
  <c r="J99" i="39" s="1"/>
  <c r="J109" i="39" s="1"/>
  <c r="J119" i="39" s="1"/>
  <c r="J129" i="39" s="1"/>
  <c r="J11" i="12"/>
  <c r="K11" i="2"/>
  <c r="L11" i="2" s="1"/>
  <c r="K135" i="2"/>
  <c r="K139" i="2" s="1"/>
  <c r="I69" i="2"/>
  <c r="I77" i="2" s="1"/>
  <c r="I85" i="2" s="1"/>
  <c r="I93" i="2" s="1"/>
  <c r="H69" i="2"/>
  <c r="H77" i="2" s="1"/>
  <c r="H85" i="2" s="1"/>
  <c r="H93" i="2" s="1"/>
  <c r="J27" i="2"/>
  <c r="E27" i="2"/>
  <c r="H27" i="2"/>
  <c r="J193" i="13"/>
  <c r="J11" i="13"/>
  <c r="K11" i="13" s="1"/>
  <c r="I47" i="6"/>
  <c r="I53" i="6" s="1"/>
  <c r="I57" i="6" s="1"/>
  <c r="I66" i="6" s="1"/>
  <c r="E47" i="6"/>
  <c r="E53" i="6" s="1"/>
  <c r="E57" i="6" s="1"/>
  <c r="E66" i="6" s="1"/>
  <c r="J11" i="6"/>
  <c r="G47" i="6"/>
  <c r="G53" i="6" s="1"/>
  <c r="G57" i="6" s="1"/>
  <c r="G66" i="6" s="1"/>
  <c r="H59" i="6"/>
  <c r="F59" i="6"/>
  <c r="D59" i="6"/>
  <c r="K10" i="6"/>
  <c r="D153" i="13"/>
  <c r="J53" i="44"/>
  <c r="J57" i="44"/>
  <c r="J65" i="44" s="1"/>
  <c r="J78" i="44"/>
  <c r="J129" i="21"/>
  <c r="J132" i="21" s="1"/>
  <c r="J162" i="21" s="1"/>
  <c r="J165" i="21" s="1"/>
  <c r="J11" i="21"/>
  <c r="K11" i="21" s="1"/>
  <c r="J66" i="12"/>
  <c r="J75" i="12" s="1"/>
  <c r="C34" i="5"/>
  <c r="C40" i="5" s="1"/>
  <c r="C47" i="5" s="1"/>
  <c r="C55" i="5" s="1"/>
  <c r="C57" i="5" s="1"/>
  <c r="J11" i="44"/>
  <c r="K11" i="44" s="1"/>
  <c r="J72" i="44"/>
  <c r="K12" i="39"/>
  <c r="J66" i="39"/>
  <c r="J72" i="39" s="1"/>
  <c r="J79" i="39" s="1"/>
  <c r="J10" i="39"/>
  <c r="K10" i="39" s="1"/>
  <c r="K13" i="21"/>
  <c r="K14" i="21" s="1"/>
  <c r="J66" i="21"/>
  <c r="C34" i="10"/>
  <c r="C27" i="10"/>
  <c r="G34" i="10"/>
  <c r="G27" i="10"/>
  <c r="F34" i="10"/>
  <c r="F27" i="10"/>
  <c r="I34" i="10"/>
  <c r="I27" i="10"/>
  <c r="H34" i="10"/>
  <c r="H27" i="10"/>
  <c r="E34" i="10"/>
  <c r="E27" i="10"/>
  <c r="D34" i="10"/>
  <c r="D27" i="10"/>
  <c r="K15" i="10"/>
  <c r="K16" i="10" s="1"/>
  <c r="K17" i="10" s="1"/>
  <c r="K18" i="10" s="1"/>
  <c r="K19" i="10" s="1"/>
  <c r="K20" i="10" s="1"/>
  <c r="K21" i="10" s="1"/>
  <c r="K22" i="10" s="1"/>
  <c r="K23" i="10" s="1"/>
  <c r="K24" i="10" s="1"/>
  <c r="K7" i="12"/>
  <c r="K13" i="12"/>
  <c r="K14" i="12" s="1"/>
  <c r="K15" i="12" s="1"/>
  <c r="K16" i="12" s="1"/>
  <c r="K17" i="12" s="1"/>
  <c r="K18" i="12" s="1"/>
  <c r="K19" i="12" s="1"/>
  <c r="K20" i="12" s="1"/>
  <c r="E131" i="12"/>
  <c r="E138" i="12" s="1"/>
  <c r="E150" i="12" s="1"/>
  <c r="E153" i="12" s="1"/>
  <c r="E163" i="12" s="1"/>
  <c r="E180" i="12" s="1"/>
  <c r="E185" i="12" s="1"/>
  <c r="E188" i="12" s="1"/>
  <c r="J103" i="5"/>
  <c r="E34" i="5"/>
  <c r="E40" i="5" s="1"/>
  <c r="E47" i="5" s="1"/>
  <c r="E55" i="5" s="1"/>
  <c r="E57" i="5" s="1"/>
  <c r="J55" i="5"/>
  <c r="J66" i="5" s="1"/>
  <c r="J78" i="5" s="1"/>
  <c r="K7" i="5"/>
  <c r="J11" i="5"/>
  <c r="K11" i="5" s="1"/>
  <c r="J66" i="13"/>
  <c r="C153" i="13"/>
  <c r="H153" i="13"/>
  <c r="E153" i="13"/>
  <c r="G153" i="13"/>
  <c r="F153" i="13"/>
  <c r="F36" i="2"/>
  <c r="F45" i="2" s="1"/>
  <c r="F57" i="2" s="1"/>
  <c r="F59" i="2" s="1"/>
  <c r="F27" i="2"/>
  <c r="D36" i="2"/>
  <c r="D45" i="2" s="1"/>
  <c r="D57" i="2" s="1"/>
  <c r="D59" i="2" s="1"/>
  <c r="D27" i="2"/>
  <c r="J95" i="2"/>
  <c r="C27" i="2"/>
  <c r="I131" i="12" l="1"/>
  <c r="E156" i="12"/>
  <c r="H97" i="5"/>
  <c r="H103" i="5" s="1"/>
  <c r="H109" i="5" s="1"/>
  <c r="H111" i="5" s="1"/>
  <c r="H120" i="5" s="1"/>
  <c r="H128" i="5" s="1"/>
  <c r="H137" i="5" s="1"/>
  <c r="H152" i="5" s="1"/>
  <c r="I97" i="5"/>
  <c r="I103" i="5" s="1"/>
  <c r="I109" i="5" s="1"/>
  <c r="I111" i="5" s="1"/>
  <c r="I120" i="5" s="1"/>
  <c r="I128" i="5" s="1"/>
  <c r="I137" i="5" s="1"/>
  <c r="I152" i="5" s="1"/>
  <c r="I85" i="5"/>
  <c r="G97" i="5"/>
  <c r="G103" i="5" s="1"/>
  <c r="G109" i="5" s="1"/>
  <c r="G111" i="5" s="1"/>
  <c r="G120" i="5" s="1"/>
  <c r="G128" i="5" s="1"/>
  <c r="G137" i="5" s="1"/>
  <c r="G152" i="5" s="1"/>
  <c r="F97" i="5"/>
  <c r="F103" i="5" s="1"/>
  <c r="F109" i="5" s="1"/>
  <c r="F111" i="5" s="1"/>
  <c r="F120" i="5" s="1"/>
  <c r="D97" i="5"/>
  <c r="D103" i="5" s="1"/>
  <c r="D109" i="5" s="1"/>
  <c r="D111" i="5" s="1"/>
  <c r="D120" i="5" s="1"/>
  <c r="K11" i="10"/>
  <c r="J156" i="10"/>
  <c r="H87" i="5"/>
  <c r="F87" i="5"/>
  <c r="D87" i="5"/>
  <c r="K11" i="12"/>
  <c r="J156" i="12"/>
  <c r="G131" i="12"/>
  <c r="G138" i="12" s="1"/>
  <c r="G150" i="12" s="1"/>
  <c r="I53" i="11"/>
  <c r="J51" i="11"/>
  <c r="I134" i="12"/>
  <c r="J134" i="12" s="1"/>
  <c r="J138" i="12" s="1"/>
  <c r="J135" i="2"/>
  <c r="K15" i="30"/>
  <c r="K16" i="30" s="1"/>
  <c r="K17" i="30" s="1"/>
  <c r="K18" i="30" s="1"/>
  <c r="K19" i="30" s="1"/>
  <c r="K20" i="30" s="1"/>
  <c r="K21" i="30" s="1"/>
  <c r="K11" i="29"/>
  <c r="K15" i="5"/>
  <c r="K16" i="5" s="1"/>
  <c r="K17" i="5" s="1"/>
  <c r="K18" i="5" s="1"/>
  <c r="K19" i="5" s="1"/>
  <c r="K20" i="5" s="1"/>
  <c r="K21" i="5" s="1"/>
  <c r="K22" i="5" s="1"/>
  <c r="J205" i="13"/>
  <c r="J225" i="13" s="1"/>
  <c r="J228" i="13" s="1"/>
  <c r="D53" i="39"/>
  <c r="H53" i="39"/>
  <c r="E53" i="39"/>
  <c r="I53" i="39"/>
  <c r="F53" i="39"/>
  <c r="C53" i="39"/>
  <c r="G53" i="39"/>
  <c r="C59" i="12"/>
  <c r="C66" i="12" s="1"/>
  <c r="C75" i="12" s="1"/>
  <c r="C86" i="12" s="1"/>
  <c r="C91" i="12" s="1"/>
  <c r="C99" i="12" s="1"/>
  <c r="C108" i="12" s="1"/>
  <c r="C116" i="12" s="1"/>
  <c r="C121" i="12" s="1"/>
  <c r="C124" i="12" s="1"/>
  <c r="J56" i="12"/>
  <c r="D45" i="10"/>
  <c r="D56" i="10" s="1"/>
  <c r="D58" i="10" s="1"/>
  <c r="E45" i="10"/>
  <c r="E56" i="10" s="1"/>
  <c r="H45" i="10"/>
  <c r="H56" i="10" s="1"/>
  <c r="I45" i="10"/>
  <c r="I56" i="10" s="1"/>
  <c r="F45" i="10"/>
  <c r="F56" i="10" s="1"/>
  <c r="G45" i="10"/>
  <c r="G56" i="10" s="1"/>
  <c r="C45" i="10"/>
  <c r="C56" i="10" s="1"/>
  <c r="H69" i="21"/>
  <c r="H77" i="21" s="1"/>
  <c r="I69" i="21"/>
  <c r="I77" i="21" s="1"/>
  <c r="C69" i="21"/>
  <c r="C77" i="21" s="1"/>
  <c r="E69" i="21"/>
  <c r="E77" i="21" s="1"/>
  <c r="F69" i="21"/>
  <c r="F77" i="21" s="1"/>
  <c r="J69" i="21"/>
  <c r="G69" i="21"/>
  <c r="G77" i="21" s="1"/>
  <c r="D69" i="21"/>
  <c r="D77" i="21" s="1"/>
  <c r="C73" i="13"/>
  <c r="C88" i="13" s="1"/>
  <c r="C97" i="13" s="1"/>
  <c r="G88" i="13"/>
  <c r="G97" i="13" s="1"/>
  <c r="G73" i="13"/>
  <c r="F88" i="13"/>
  <c r="F97" i="13" s="1"/>
  <c r="F73" i="13"/>
  <c r="D73" i="13"/>
  <c r="D88" i="13" s="1"/>
  <c r="D97" i="13" s="1"/>
  <c r="E88" i="13"/>
  <c r="E97" i="13" s="1"/>
  <c r="E73" i="13"/>
  <c r="I69" i="13"/>
  <c r="I73" i="13" s="1"/>
  <c r="I79" i="13" s="1"/>
  <c r="H88" i="13"/>
  <c r="H97" i="13" s="1"/>
  <c r="H73" i="13"/>
  <c r="K11" i="6"/>
  <c r="J47" i="6"/>
  <c r="J53" i="6" s="1"/>
  <c r="K16" i="6"/>
  <c r="K17" i="6" s="1"/>
  <c r="K18" i="6" s="1"/>
  <c r="K19" i="6" s="1"/>
  <c r="K20" i="6" s="1"/>
  <c r="K21" i="6" s="1"/>
  <c r="K22" i="6" s="1"/>
  <c r="K23" i="6" s="1"/>
  <c r="K24" i="6" s="1"/>
  <c r="K11" i="52"/>
  <c r="K26" i="45"/>
  <c r="G62" i="2"/>
  <c r="E62" i="2"/>
  <c r="I62" i="2"/>
  <c r="F75" i="12"/>
  <c r="F86" i="12" s="1"/>
  <c r="F91" i="12" s="1"/>
  <c r="F99" i="12" s="1"/>
  <c r="F108" i="12" s="1"/>
  <c r="F116" i="12" s="1"/>
  <c r="F121" i="12" s="1"/>
  <c r="F124" i="12" s="1"/>
  <c r="K57" i="30"/>
  <c r="D75" i="12"/>
  <c r="D86" i="12" s="1"/>
  <c r="D91" i="12" s="1"/>
  <c r="D99" i="12" s="1"/>
  <c r="D108" i="12" s="1"/>
  <c r="D116" i="12" s="1"/>
  <c r="D121" i="12" s="1"/>
  <c r="D124" i="12" s="1"/>
  <c r="H75" i="12"/>
  <c r="H86" i="12" s="1"/>
  <c r="H91" i="12" s="1"/>
  <c r="H99" i="12" s="1"/>
  <c r="H108" i="12" s="1"/>
  <c r="H116" i="12" s="1"/>
  <c r="H121" i="12" s="1"/>
  <c r="H124" i="12" s="1"/>
  <c r="C46" i="6"/>
  <c r="J38" i="21"/>
  <c r="K15" i="11"/>
  <c r="G122" i="5"/>
  <c r="K25" i="10"/>
  <c r="K21" i="12"/>
  <c r="K35" i="13"/>
  <c r="K36" i="13" s="1"/>
  <c r="L15" i="2"/>
  <c r="L16" i="2" s="1"/>
  <c r="L17" i="2" s="1"/>
  <c r="L18" i="2" s="1"/>
  <c r="K13" i="39"/>
  <c r="K14" i="39" s="1"/>
  <c r="K15" i="39" s="1"/>
  <c r="K16" i="39" s="1"/>
  <c r="K17" i="39" s="1"/>
  <c r="K18" i="39" s="1"/>
  <c r="K19" i="39" s="1"/>
  <c r="K20" i="39" s="1"/>
  <c r="J102" i="44"/>
  <c r="K80" i="11"/>
  <c r="K81" i="11" s="1"/>
  <c r="K82" i="11" s="1"/>
  <c r="K83" i="11" s="1"/>
  <c r="K84" i="11" s="1"/>
  <c r="K85" i="11" s="1"/>
  <c r="K86" i="11" s="1"/>
  <c r="K87" i="11" s="1"/>
  <c r="K88" i="11" s="1"/>
  <c r="E66" i="5"/>
  <c r="E78" i="5" s="1"/>
  <c r="K39" i="44"/>
  <c r="K40" i="44" s="1"/>
  <c r="K41" i="44" s="1"/>
  <c r="K42" i="44" s="1"/>
  <c r="K43" i="44" s="1"/>
  <c r="K44" i="44" s="1"/>
  <c r="K45" i="44" s="1"/>
  <c r="K46" i="44" s="1"/>
  <c r="K47" i="44" s="1"/>
  <c r="K48" i="44" s="1"/>
  <c r="K49" i="44" s="1"/>
  <c r="K50" i="44" s="1"/>
  <c r="K51" i="44" s="1"/>
  <c r="K52" i="44" s="1"/>
  <c r="K53" i="44" s="1"/>
  <c r="K54" i="44" s="1"/>
  <c r="K55" i="44" s="1"/>
  <c r="K56" i="44" s="1"/>
  <c r="K57" i="44" s="1"/>
  <c r="K65" i="44" s="1"/>
  <c r="K66" i="44" s="1"/>
  <c r="K67" i="44" s="1"/>
  <c r="K68" i="44" s="1"/>
  <c r="K69" i="44" s="1"/>
  <c r="K70" i="44" s="1"/>
  <c r="K71" i="44" s="1"/>
  <c r="K72" i="44" s="1"/>
  <c r="K73" i="44" s="1"/>
  <c r="K74" i="44" s="1"/>
  <c r="K75" i="44" s="1"/>
  <c r="K76" i="44" s="1"/>
  <c r="K77" i="44" s="1"/>
  <c r="K78" i="44" s="1"/>
  <c r="H62" i="2"/>
  <c r="K15" i="21"/>
  <c r="K16" i="21" s="1"/>
  <c r="K17" i="21" s="1"/>
  <c r="K18" i="21" s="1"/>
  <c r="K19" i="21" s="1"/>
  <c r="K20" i="21" s="1"/>
  <c r="K21" i="21" s="1"/>
  <c r="K27" i="5"/>
  <c r="C69" i="2"/>
  <c r="C77" i="2" s="1"/>
  <c r="C85" i="2" s="1"/>
  <c r="C93" i="2" s="1"/>
  <c r="C62" i="2"/>
  <c r="C131" i="12" l="1"/>
  <c r="C138" i="12" s="1"/>
  <c r="C150" i="12" s="1"/>
  <c r="K22" i="30"/>
  <c r="K23" i="30" s="1"/>
  <c r="K24" i="30" s="1"/>
  <c r="K25" i="30" s="1"/>
  <c r="K35" i="30" s="1"/>
  <c r="K36" i="30" s="1"/>
  <c r="K37" i="30" s="1"/>
  <c r="I122" i="5"/>
  <c r="H122" i="5"/>
  <c r="F128" i="5"/>
  <c r="F137" i="5" s="1"/>
  <c r="F152" i="5" s="1"/>
  <c r="F122" i="5"/>
  <c r="J139" i="2"/>
  <c r="J150" i="2" s="1"/>
  <c r="J158" i="2" s="1"/>
  <c r="J161" i="2" s="1"/>
  <c r="D128" i="5"/>
  <c r="D137" i="5" s="1"/>
  <c r="D152" i="5" s="1"/>
  <c r="D122" i="5"/>
  <c r="E97" i="5"/>
  <c r="E103" i="5" s="1"/>
  <c r="E109" i="5" s="1"/>
  <c r="E111" i="5" s="1"/>
  <c r="E120" i="5" s="1"/>
  <c r="E128" i="5" s="1"/>
  <c r="E137" i="5" s="1"/>
  <c r="E152" i="5" s="1"/>
  <c r="E87" i="5"/>
  <c r="C153" i="12"/>
  <c r="G153" i="12"/>
  <c r="I138" i="12"/>
  <c r="I150" i="12" s="1"/>
  <c r="J53" i="11"/>
  <c r="I68" i="11"/>
  <c r="I70" i="11" s="1"/>
  <c r="I74" i="11" s="1"/>
  <c r="I91" i="11" s="1"/>
  <c r="K91" i="11" s="1"/>
  <c r="F131" i="12"/>
  <c r="F138" i="12" s="1"/>
  <c r="F150" i="12" s="1"/>
  <c r="H131" i="12"/>
  <c r="H138" i="12" s="1"/>
  <c r="H150" i="12" s="1"/>
  <c r="D131" i="12"/>
  <c r="D138" i="12" s="1"/>
  <c r="D150" i="12" s="1"/>
  <c r="K23" i="5"/>
  <c r="K24" i="5" s="1"/>
  <c r="K25" i="5" s="1"/>
  <c r="G55" i="39"/>
  <c r="G66" i="39" s="1"/>
  <c r="F55" i="39"/>
  <c r="F66" i="39" s="1"/>
  <c r="E55" i="39"/>
  <c r="E66" i="39" s="1"/>
  <c r="D55" i="39"/>
  <c r="D66" i="39" s="1"/>
  <c r="C55" i="39"/>
  <c r="C66" i="39" s="1"/>
  <c r="I55" i="39"/>
  <c r="I66" i="39" s="1"/>
  <c r="H55" i="39"/>
  <c r="H66" i="39" s="1"/>
  <c r="D85" i="21"/>
  <c r="G85" i="21"/>
  <c r="E85" i="21"/>
  <c r="I85" i="21"/>
  <c r="I89" i="21" s="1"/>
  <c r="I100" i="21" s="1"/>
  <c r="I107" i="21" s="1"/>
  <c r="I119" i="21" s="1"/>
  <c r="F85" i="21"/>
  <c r="C85" i="21"/>
  <c r="H85" i="21"/>
  <c r="H103" i="13"/>
  <c r="H118" i="13" s="1"/>
  <c r="H129" i="13" s="1"/>
  <c r="H135" i="13" s="1"/>
  <c r="H150" i="13" s="1"/>
  <c r="H160" i="13" s="1"/>
  <c r="H166" i="13" s="1"/>
  <c r="H183" i="13" s="1"/>
  <c r="D103" i="13"/>
  <c r="D118" i="13" s="1"/>
  <c r="D129" i="13" s="1"/>
  <c r="D135" i="13" s="1"/>
  <c r="D150" i="13" s="1"/>
  <c r="D160" i="13" s="1"/>
  <c r="F103" i="13"/>
  <c r="F118" i="13" s="1"/>
  <c r="F129" i="13" s="1"/>
  <c r="F135" i="13" s="1"/>
  <c r="F150" i="13" s="1"/>
  <c r="F160" i="13" s="1"/>
  <c r="F166" i="13" s="1"/>
  <c r="F183" i="13" s="1"/>
  <c r="G103" i="13"/>
  <c r="G118" i="13" s="1"/>
  <c r="G129" i="13" s="1"/>
  <c r="G135" i="13" s="1"/>
  <c r="G150" i="13" s="1"/>
  <c r="G160" i="13" s="1"/>
  <c r="G166" i="13" s="1"/>
  <c r="G183" i="13" s="1"/>
  <c r="J79" i="13"/>
  <c r="J88" i="13" s="1"/>
  <c r="J97" i="13" s="1"/>
  <c r="J103" i="13" s="1"/>
  <c r="E103" i="13"/>
  <c r="E118" i="13" s="1"/>
  <c r="E129" i="13" s="1"/>
  <c r="E135" i="13" s="1"/>
  <c r="E150" i="13" s="1"/>
  <c r="E160" i="13" s="1"/>
  <c r="E166" i="13" s="1"/>
  <c r="E183" i="13" s="1"/>
  <c r="C103" i="13"/>
  <c r="C118" i="13" s="1"/>
  <c r="C129" i="13" s="1"/>
  <c r="C135" i="13" s="1"/>
  <c r="C150" i="13" s="1"/>
  <c r="C160" i="13" s="1"/>
  <c r="C58" i="10"/>
  <c r="C67" i="10" s="1"/>
  <c r="C77" i="10" s="1"/>
  <c r="C88" i="10" s="1"/>
  <c r="C99" i="10" s="1"/>
  <c r="F58" i="10"/>
  <c r="F67" i="10" s="1"/>
  <c r="F77" i="10" s="1"/>
  <c r="F88" i="10" s="1"/>
  <c r="H58" i="10"/>
  <c r="H67" i="10" s="1"/>
  <c r="H77" i="10" s="1"/>
  <c r="H88" i="10" s="1"/>
  <c r="G58" i="10"/>
  <c r="G67" i="10" s="1"/>
  <c r="G77" i="10" s="1"/>
  <c r="G88" i="10" s="1"/>
  <c r="I58" i="10"/>
  <c r="I67" i="10" s="1"/>
  <c r="I77" i="10" s="1"/>
  <c r="I88" i="10" s="1"/>
  <c r="E58" i="10"/>
  <c r="E67" i="10" s="1"/>
  <c r="E77" i="10" s="1"/>
  <c r="E88" i="10" s="1"/>
  <c r="D67" i="10"/>
  <c r="D60" i="10"/>
  <c r="K17" i="11"/>
  <c r="K16" i="11"/>
  <c r="J69" i="13"/>
  <c r="J73" i="13" s="1"/>
  <c r="I88" i="13"/>
  <c r="I97" i="13" s="1"/>
  <c r="K25" i="6"/>
  <c r="K34" i="6" s="1"/>
  <c r="C53" i="6"/>
  <c r="G95" i="2"/>
  <c r="G102" i="2"/>
  <c r="G117" i="2" s="1"/>
  <c r="G126" i="2" s="1"/>
  <c r="G128" i="2" s="1"/>
  <c r="E95" i="2"/>
  <c r="E102" i="2"/>
  <c r="E117" i="2" s="1"/>
  <c r="E126" i="2" s="1"/>
  <c r="E128" i="2" s="1"/>
  <c r="H95" i="2"/>
  <c r="H102" i="2"/>
  <c r="H117" i="2" s="1"/>
  <c r="H126" i="2" s="1"/>
  <c r="H128" i="2" s="1"/>
  <c r="I102" i="2"/>
  <c r="I117" i="2" s="1"/>
  <c r="I126" i="2" s="1"/>
  <c r="I128" i="2" s="1"/>
  <c r="I95" i="2"/>
  <c r="K22" i="12"/>
  <c r="K23" i="12" s="1"/>
  <c r="L19" i="2"/>
  <c r="L20" i="2" s="1"/>
  <c r="L21" i="2" s="1"/>
  <c r="L22" i="2" s="1"/>
  <c r="L23" i="2" s="1"/>
  <c r="L24" i="2" s="1"/>
  <c r="K22" i="21"/>
  <c r="K23" i="21" s="1"/>
  <c r="K24" i="21" s="1"/>
  <c r="K34" i="21" s="1"/>
  <c r="K34" i="10"/>
  <c r="K35" i="10" s="1"/>
  <c r="K36" i="10" s="1"/>
  <c r="K37" i="10" s="1"/>
  <c r="K38" i="10" s="1"/>
  <c r="K39" i="10" s="1"/>
  <c r="K40" i="10" s="1"/>
  <c r="K41" i="10" s="1"/>
  <c r="K42" i="10" s="1"/>
  <c r="K43" i="10" s="1"/>
  <c r="K27" i="10"/>
  <c r="K37" i="13"/>
  <c r="K38" i="13" s="1"/>
  <c r="K21" i="39"/>
  <c r="K139" i="5"/>
  <c r="K140" i="5" s="1"/>
  <c r="K141" i="5" s="1"/>
  <c r="K142" i="5" s="1"/>
  <c r="K143" i="5" s="1"/>
  <c r="K144" i="5" s="1"/>
  <c r="K145" i="5" s="1"/>
  <c r="K146" i="5" s="1"/>
  <c r="K147" i="5" s="1"/>
  <c r="K148" i="5" s="1"/>
  <c r="K149" i="5"/>
  <c r="K79" i="44"/>
  <c r="K80" i="44" s="1"/>
  <c r="K81" i="44" s="1"/>
  <c r="K82" i="44" s="1"/>
  <c r="K83" i="44" s="1"/>
  <c r="K84" i="44" s="1"/>
  <c r="K85" i="44" s="1"/>
  <c r="K86" i="44" s="1"/>
  <c r="K87" i="44" s="1"/>
  <c r="K97" i="44" s="1"/>
  <c r="K98" i="44" s="1"/>
  <c r="K99" i="44" s="1"/>
  <c r="K100" i="44" s="1"/>
  <c r="K101" i="44" s="1"/>
  <c r="K90" i="44"/>
  <c r="F69" i="2"/>
  <c r="F77" i="2" s="1"/>
  <c r="F85" i="2" s="1"/>
  <c r="F93" i="2" s="1"/>
  <c r="F62" i="2"/>
  <c r="D69" i="2"/>
  <c r="D77" i="2" s="1"/>
  <c r="D85" i="2" s="1"/>
  <c r="D93" i="2" s="1"/>
  <c r="D62" i="2"/>
  <c r="C163" i="12" l="1"/>
  <c r="C180" i="12" s="1"/>
  <c r="C185" i="12" s="1"/>
  <c r="C188" i="12" s="1"/>
  <c r="C156" i="12"/>
  <c r="G163" i="12"/>
  <c r="G180" i="12" s="1"/>
  <c r="G185" i="12" s="1"/>
  <c r="G188" i="12" s="1"/>
  <c r="G156" i="12"/>
  <c r="K38" i="30"/>
  <c r="K39" i="30" s="1"/>
  <c r="K40" i="30" s="1"/>
  <c r="K41" i="30" s="1"/>
  <c r="K42" i="30" s="1"/>
  <c r="J168" i="2"/>
  <c r="C90" i="10"/>
  <c r="E60" i="10"/>
  <c r="K44" i="10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7" i="10" s="1"/>
  <c r="H153" i="12"/>
  <c r="I153" i="12"/>
  <c r="D153" i="12"/>
  <c r="F153" i="12"/>
  <c r="K35" i="6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C57" i="6"/>
  <c r="C66" i="6" s="1"/>
  <c r="C70" i="6" s="1"/>
  <c r="C72" i="6" s="1"/>
  <c r="K34" i="5"/>
  <c r="K35" i="5" s="1"/>
  <c r="K36" i="5" s="1"/>
  <c r="K37" i="5" s="1"/>
  <c r="K38" i="5" s="1"/>
  <c r="K39" i="5" s="1"/>
  <c r="C89" i="21"/>
  <c r="C100" i="21" s="1"/>
  <c r="C107" i="21" s="1"/>
  <c r="C119" i="21" s="1"/>
  <c r="G89" i="21"/>
  <c r="G100" i="21" s="1"/>
  <c r="G107" i="21" s="1"/>
  <c r="G119" i="21" s="1"/>
  <c r="H89" i="21"/>
  <c r="H100" i="21" s="1"/>
  <c r="H107" i="21" s="1"/>
  <c r="H119" i="21" s="1"/>
  <c r="F89" i="21"/>
  <c r="F100" i="21" s="1"/>
  <c r="F107" i="21" s="1"/>
  <c r="F119" i="21" s="1"/>
  <c r="E89" i="21"/>
  <c r="E100" i="21" s="1"/>
  <c r="E107" i="21" s="1"/>
  <c r="E119" i="21" s="1"/>
  <c r="D89" i="21"/>
  <c r="D100" i="21" s="1"/>
  <c r="D107" i="21" s="1"/>
  <c r="D119" i="21" s="1"/>
  <c r="H72" i="39"/>
  <c r="H79" i="39" s="1"/>
  <c r="H87" i="39" s="1"/>
  <c r="I72" i="39"/>
  <c r="I79" i="39" s="1"/>
  <c r="I87" i="39" s="1"/>
  <c r="C72" i="39"/>
  <c r="C79" i="39" s="1"/>
  <c r="C87" i="39" s="1"/>
  <c r="D72" i="39"/>
  <c r="D79" i="39" s="1"/>
  <c r="D87" i="39" s="1"/>
  <c r="E72" i="39"/>
  <c r="E79" i="39" s="1"/>
  <c r="E87" i="39" s="1"/>
  <c r="F72" i="39"/>
  <c r="F79" i="39" s="1"/>
  <c r="F87" i="39" s="1"/>
  <c r="G72" i="39"/>
  <c r="G79" i="39" s="1"/>
  <c r="G87" i="39" s="1"/>
  <c r="I129" i="21"/>
  <c r="I132" i="21" s="1"/>
  <c r="I151" i="21" s="1"/>
  <c r="I122" i="21"/>
  <c r="C110" i="10"/>
  <c r="C115" i="10" s="1"/>
  <c r="C121" i="10" s="1"/>
  <c r="F60" i="10"/>
  <c r="G60" i="10"/>
  <c r="D77" i="10"/>
  <c r="D88" i="10" s="1"/>
  <c r="D90" i="10" s="1"/>
  <c r="E186" i="13"/>
  <c r="E193" i="13"/>
  <c r="E205" i="13" s="1"/>
  <c r="E215" i="13" s="1"/>
  <c r="G193" i="13"/>
  <c r="G205" i="13" s="1"/>
  <c r="G215" i="13" s="1"/>
  <c r="G186" i="13"/>
  <c r="D166" i="13"/>
  <c r="D183" i="13" s="1"/>
  <c r="D186" i="13" s="1"/>
  <c r="C166" i="13"/>
  <c r="C183" i="13" s="1"/>
  <c r="C193" i="13" s="1"/>
  <c r="F186" i="13"/>
  <c r="F193" i="13"/>
  <c r="F205" i="13" s="1"/>
  <c r="F215" i="13" s="1"/>
  <c r="H193" i="13"/>
  <c r="H205" i="13" s="1"/>
  <c r="H215" i="13" s="1"/>
  <c r="H186" i="13"/>
  <c r="I103" i="13"/>
  <c r="D99" i="10"/>
  <c r="E90" i="10"/>
  <c r="E99" i="10"/>
  <c r="G99" i="10"/>
  <c r="G90" i="10"/>
  <c r="F99" i="10"/>
  <c r="F90" i="10"/>
  <c r="I90" i="10"/>
  <c r="I99" i="10"/>
  <c r="H90" i="10"/>
  <c r="H99" i="10"/>
  <c r="C60" i="10"/>
  <c r="I60" i="10"/>
  <c r="H60" i="10"/>
  <c r="K18" i="11"/>
  <c r="K19" i="11" s="1"/>
  <c r="K23" i="39"/>
  <c r="K24" i="39" s="1"/>
  <c r="K25" i="39" s="1"/>
  <c r="K34" i="39" s="1"/>
  <c r="K22" i="39"/>
  <c r="K35" i="2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K55" i="21" s="1"/>
  <c r="K24" i="12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39" i="13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L27" i="2"/>
  <c r="L36" i="2"/>
  <c r="L37" i="2" s="1"/>
  <c r="L38" i="2" s="1"/>
  <c r="L39" i="2" s="1"/>
  <c r="L40" i="2" s="1"/>
  <c r="L41" i="2" s="1"/>
  <c r="L42" i="2" s="1"/>
  <c r="L43" i="2" s="1"/>
  <c r="L44" i="2" s="1"/>
  <c r="K104" i="44"/>
  <c r="K105" i="44" s="1"/>
  <c r="K106" i="44" s="1"/>
  <c r="K107" i="44" s="1"/>
  <c r="K108" i="44" s="1"/>
  <c r="K109" i="44" s="1"/>
  <c r="K102" i="44"/>
  <c r="E122" i="5"/>
  <c r="F163" i="12" l="1"/>
  <c r="F180" i="12" s="1"/>
  <c r="F185" i="12" s="1"/>
  <c r="F188" i="12" s="1"/>
  <c r="F156" i="12"/>
  <c r="I163" i="12"/>
  <c r="I156" i="12"/>
  <c r="D163" i="12"/>
  <c r="D180" i="12" s="1"/>
  <c r="D185" i="12" s="1"/>
  <c r="D188" i="12" s="1"/>
  <c r="D156" i="12"/>
  <c r="H163" i="12"/>
  <c r="H180" i="12" s="1"/>
  <c r="H185" i="12" s="1"/>
  <c r="H188" i="12" s="1"/>
  <c r="H156" i="12"/>
  <c r="C124" i="10"/>
  <c r="C131" i="10"/>
  <c r="C139" i="10" s="1"/>
  <c r="C146" i="10" s="1"/>
  <c r="C153" i="10" s="1"/>
  <c r="C75" i="6"/>
  <c r="C77" i="6" s="1"/>
  <c r="K48" i="6"/>
  <c r="K49" i="6" s="1"/>
  <c r="K50" i="6" s="1"/>
  <c r="K51" i="6" s="1"/>
  <c r="K52" i="6" s="1"/>
  <c r="K59" i="6"/>
  <c r="K40" i="5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E135" i="2"/>
  <c r="E139" i="2" s="1"/>
  <c r="E150" i="2" s="1"/>
  <c r="E158" i="2" s="1"/>
  <c r="E161" i="2" s="1"/>
  <c r="I135" i="2"/>
  <c r="F110" i="10"/>
  <c r="F115" i="10" s="1"/>
  <c r="F121" i="10" s="1"/>
  <c r="G110" i="10"/>
  <c r="G115" i="10" s="1"/>
  <c r="G121" i="10" s="1"/>
  <c r="H110" i="10"/>
  <c r="H115" i="10" s="1"/>
  <c r="H121" i="10" s="1"/>
  <c r="I110" i="10"/>
  <c r="I115" i="10" s="1"/>
  <c r="I121" i="10" s="1"/>
  <c r="E110" i="10"/>
  <c r="E115" i="10" s="1"/>
  <c r="E121" i="10" s="1"/>
  <c r="D110" i="10"/>
  <c r="D115" i="10" s="1"/>
  <c r="D121" i="10" s="1"/>
  <c r="I162" i="21"/>
  <c r="I165" i="21" s="1"/>
  <c r="I171" i="21" s="1"/>
  <c r="I182" i="21" s="1"/>
  <c r="I154" i="21"/>
  <c r="D122" i="21"/>
  <c r="D129" i="21"/>
  <c r="D132" i="21" s="1"/>
  <c r="D151" i="21" s="1"/>
  <c r="E129" i="21"/>
  <c r="E132" i="21" s="1"/>
  <c r="E151" i="21" s="1"/>
  <c r="E122" i="21"/>
  <c r="F122" i="21"/>
  <c r="F129" i="21"/>
  <c r="F132" i="21" s="1"/>
  <c r="F151" i="21" s="1"/>
  <c r="H129" i="21"/>
  <c r="H122" i="21"/>
  <c r="G122" i="21"/>
  <c r="G129" i="21"/>
  <c r="G132" i="21" s="1"/>
  <c r="G151" i="21" s="1"/>
  <c r="C122" i="21"/>
  <c r="C129" i="21"/>
  <c r="C132" i="21" s="1"/>
  <c r="C151" i="21" s="1"/>
  <c r="C154" i="21" s="1"/>
  <c r="C205" i="13"/>
  <c r="C215" i="13" s="1"/>
  <c r="C218" i="13" s="1"/>
  <c r="G135" i="2"/>
  <c r="H135" i="2"/>
  <c r="G90" i="39"/>
  <c r="G97" i="39"/>
  <c r="G99" i="39" s="1"/>
  <c r="G109" i="39" s="1"/>
  <c r="G114" i="39" s="1"/>
  <c r="G119" i="39" s="1"/>
  <c r="G122" i="39" s="1"/>
  <c r="F90" i="39"/>
  <c r="F97" i="39"/>
  <c r="F99" i="39" s="1"/>
  <c r="F109" i="39" s="1"/>
  <c r="F114" i="39" s="1"/>
  <c r="F119" i="39" s="1"/>
  <c r="F122" i="39" s="1"/>
  <c r="E90" i="39"/>
  <c r="E97" i="39"/>
  <c r="E99" i="39" s="1"/>
  <c r="E109" i="39" s="1"/>
  <c r="E114" i="39" s="1"/>
  <c r="E119" i="39" s="1"/>
  <c r="E122" i="39" s="1"/>
  <c r="D90" i="39"/>
  <c r="D97" i="39"/>
  <c r="D99" i="39" s="1"/>
  <c r="D109" i="39" s="1"/>
  <c r="D114" i="39" s="1"/>
  <c r="D119" i="39" s="1"/>
  <c r="D122" i="39" s="1"/>
  <c r="C97" i="39"/>
  <c r="C99" i="39" s="1"/>
  <c r="C109" i="39" s="1"/>
  <c r="C114" i="39" s="1"/>
  <c r="C119" i="39" s="1"/>
  <c r="C122" i="39" s="1"/>
  <c r="C90" i="39"/>
  <c r="I90" i="39"/>
  <c r="I97" i="39"/>
  <c r="I99" i="39" s="1"/>
  <c r="I109" i="39" s="1"/>
  <c r="I114" i="39" s="1"/>
  <c r="I119" i="39" s="1"/>
  <c r="I122" i="39" s="1"/>
  <c r="H90" i="39"/>
  <c r="H97" i="39"/>
  <c r="H99" i="39" s="1"/>
  <c r="H109" i="39" s="1"/>
  <c r="H114" i="39" s="1"/>
  <c r="H119" i="39" s="1"/>
  <c r="H122" i="39" s="1"/>
  <c r="F225" i="13"/>
  <c r="F228" i="13" s="1"/>
  <c r="F247" i="13" s="1"/>
  <c r="F257" i="13" s="1"/>
  <c r="F261" i="13" s="1"/>
  <c r="F276" i="13" s="1"/>
  <c r="F279" i="13" s="1"/>
  <c r="F218" i="13"/>
  <c r="E225" i="13"/>
  <c r="E228" i="13" s="1"/>
  <c r="E247" i="13" s="1"/>
  <c r="E257" i="13" s="1"/>
  <c r="E261" i="13" s="1"/>
  <c r="E276" i="13" s="1"/>
  <c r="E279" i="13" s="1"/>
  <c r="E218" i="13"/>
  <c r="H225" i="13"/>
  <c r="H228" i="13" s="1"/>
  <c r="H247" i="13" s="1"/>
  <c r="H257" i="13" s="1"/>
  <c r="H261" i="13" s="1"/>
  <c r="H276" i="13" s="1"/>
  <c r="H279" i="13" s="1"/>
  <c r="H218" i="13"/>
  <c r="C186" i="13"/>
  <c r="D193" i="13"/>
  <c r="D205" i="13" s="1"/>
  <c r="D215" i="13" s="1"/>
  <c r="G225" i="13"/>
  <c r="G228" i="13" s="1"/>
  <c r="G247" i="13" s="1"/>
  <c r="G257" i="13" s="1"/>
  <c r="G261" i="13" s="1"/>
  <c r="G276" i="13" s="1"/>
  <c r="G279" i="13" s="1"/>
  <c r="G218" i="13"/>
  <c r="K21" i="11"/>
  <c r="K26" i="11" s="1"/>
  <c r="K36" i="11" s="1"/>
  <c r="K43" i="11" s="1"/>
  <c r="K45" i="11" s="1"/>
  <c r="K47" i="11" s="1"/>
  <c r="K55" i="11" s="1"/>
  <c r="K20" i="11"/>
  <c r="I113" i="13"/>
  <c r="K35" i="39"/>
  <c r="K36" i="39" s="1"/>
  <c r="K37" i="39" s="1"/>
  <c r="K38" i="39" s="1"/>
  <c r="K39" i="39" s="1"/>
  <c r="K40" i="39" s="1"/>
  <c r="K41" i="39" s="1"/>
  <c r="K42" i="39" s="1"/>
  <c r="K43" i="39" s="1"/>
  <c r="K44" i="39" s="1"/>
  <c r="K45" i="39" s="1"/>
  <c r="K46" i="39" s="1"/>
  <c r="K47" i="39" s="1"/>
  <c r="K48" i="39" s="1"/>
  <c r="K49" i="39" s="1"/>
  <c r="K50" i="39" s="1"/>
  <c r="K51" i="39" s="1"/>
  <c r="K52" i="39" s="1"/>
  <c r="K53" i="39" s="1"/>
  <c r="L45" i="2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F102" i="2"/>
  <c r="F117" i="2" s="1"/>
  <c r="F126" i="2" s="1"/>
  <c r="F128" i="2" s="1"/>
  <c r="F95" i="2"/>
  <c r="D102" i="2"/>
  <c r="D117" i="2" s="1"/>
  <c r="D126" i="2" s="1"/>
  <c r="D128" i="2" s="1"/>
  <c r="D95" i="2"/>
  <c r="K102" i="2"/>
  <c r="K58" i="13"/>
  <c r="K66" i="13" s="1"/>
  <c r="K67" i="13" s="1"/>
  <c r="K56" i="21"/>
  <c r="K66" i="21" s="1"/>
  <c r="K67" i="21" s="1"/>
  <c r="K68" i="21" s="1"/>
  <c r="K44" i="12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110" i="44"/>
  <c r="K111" i="44" s="1"/>
  <c r="K112" i="44" s="1"/>
  <c r="K113" i="44" s="1"/>
  <c r="K114" i="44" s="1"/>
  <c r="K115" i="44" s="1"/>
  <c r="K116" i="44" s="1"/>
  <c r="K117" i="44" s="1"/>
  <c r="K118" i="44" s="1"/>
  <c r="K121" i="44"/>
  <c r="J166" i="12" l="1"/>
  <c r="I180" i="12"/>
  <c r="I185" i="12" s="1"/>
  <c r="I188" i="12" s="1"/>
  <c r="I194" i="21"/>
  <c r="I185" i="21"/>
  <c r="H139" i="2"/>
  <c r="H150" i="2" s="1"/>
  <c r="H158" i="2" s="1"/>
  <c r="H161" i="2" s="1"/>
  <c r="G139" i="2"/>
  <c r="G150" i="2" s="1"/>
  <c r="G158" i="2" s="1"/>
  <c r="G161" i="2" s="1"/>
  <c r="I139" i="2"/>
  <c r="I150" i="2" s="1"/>
  <c r="I158" i="2" s="1"/>
  <c r="I161" i="2" s="1"/>
  <c r="D131" i="10"/>
  <c r="D139" i="10" s="1"/>
  <c r="D146" i="10" s="1"/>
  <c r="D153" i="10" s="1"/>
  <c r="D124" i="10"/>
  <c r="I131" i="10"/>
  <c r="I139" i="10" s="1"/>
  <c r="I146" i="10" s="1"/>
  <c r="I153" i="10" s="1"/>
  <c r="I124" i="10"/>
  <c r="G131" i="10"/>
  <c r="G139" i="10" s="1"/>
  <c r="G146" i="10" s="1"/>
  <c r="G153" i="10" s="1"/>
  <c r="G124" i="10"/>
  <c r="C156" i="10"/>
  <c r="C163" i="10"/>
  <c r="E131" i="10"/>
  <c r="E139" i="10" s="1"/>
  <c r="E146" i="10" s="1"/>
  <c r="E153" i="10" s="1"/>
  <c r="E124" i="10"/>
  <c r="H131" i="10"/>
  <c r="H139" i="10" s="1"/>
  <c r="H146" i="10" s="1"/>
  <c r="H153" i="10" s="1"/>
  <c r="H124" i="10"/>
  <c r="F131" i="10"/>
  <c r="F139" i="10" s="1"/>
  <c r="F146" i="10" s="1"/>
  <c r="F153" i="10" s="1"/>
  <c r="F124" i="10"/>
  <c r="K68" i="11"/>
  <c r="K69" i="11" s="1"/>
  <c r="K70" i="11" s="1"/>
  <c r="K71" i="11" s="1"/>
  <c r="K72" i="11" s="1"/>
  <c r="K73" i="11" s="1"/>
  <c r="K74" i="11" s="1"/>
  <c r="G289" i="13"/>
  <c r="G311" i="13" s="1"/>
  <c r="G314" i="13" s="1"/>
  <c r="G282" i="13"/>
  <c r="H289" i="13"/>
  <c r="H311" i="13" s="1"/>
  <c r="H314" i="13" s="1"/>
  <c r="H282" i="13"/>
  <c r="E289" i="13"/>
  <c r="E311" i="13" s="1"/>
  <c r="E282" i="13"/>
  <c r="F289" i="13"/>
  <c r="F311" i="13" s="1"/>
  <c r="F314" i="13" s="1"/>
  <c r="F282" i="13"/>
  <c r="C225" i="13"/>
  <c r="C228" i="13" s="1"/>
  <c r="K52" i="5"/>
  <c r="K53" i="5" s="1"/>
  <c r="K54" i="5" s="1"/>
  <c r="K55" i="5" s="1"/>
  <c r="K66" i="5" s="1"/>
  <c r="K67" i="5" s="1"/>
  <c r="E168" i="2"/>
  <c r="C162" i="21"/>
  <c r="C165" i="21" s="1"/>
  <c r="C171" i="21" s="1"/>
  <c r="C182" i="21" s="1"/>
  <c r="G162" i="21"/>
  <c r="G165" i="21" s="1"/>
  <c r="G171" i="21" s="1"/>
  <c r="G182" i="21" s="1"/>
  <c r="G154" i="21"/>
  <c r="F154" i="21"/>
  <c r="F162" i="21"/>
  <c r="F165" i="21" s="1"/>
  <c r="F171" i="21" s="1"/>
  <c r="F182" i="21" s="1"/>
  <c r="D154" i="21"/>
  <c r="D162" i="21"/>
  <c r="D165" i="21" s="1"/>
  <c r="D171" i="21" s="1"/>
  <c r="D182" i="21" s="1"/>
  <c r="K122" i="21"/>
  <c r="H132" i="21"/>
  <c r="H151" i="21" s="1"/>
  <c r="E162" i="21"/>
  <c r="E165" i="21" s="1"/>
  <c r="E171" i="21" s="1"/>
  <c r="E182" i="21" s="1"/>
  <c r="E154" i="21"/>
  <c r="L58" i="2"/>
  <c r="L59" i="2" s="1"/>
  <c r="C129" i="39"/>
  <c r="H129" i="39"/>
  <c r="I129" i="39"/>
  <c r="K90" i="39"/>
  <c r="D129" i="39"/>
  <c r="E129" i="39"/>
  <c r="F129" i="39"/>
  <c r="G129" i="39"/>
  <c r="D225" i="13"/>
  <c r="D228" i="13" s="1"/>
  <c r="D247" i="13" s="1"/>
  <c r="D257" i="13" s="1"/>
  <c r="D261" i="13" s="1"/>
  <c r="D276" i="13" s="1"/>
  <c r="D279" i="13" s="1"/>
  <c r="D218" i="13"/>
  <c r="G250" i="13"/>
  <c r="H250" i="13"/>
  <c r="E250" i="13"/>
  <c r="F250" i="13"/>
  <c r="J113" i="13"/>
  <c r="J118" i="13" s="1"/>
  <c r="J129" i="13" s="1"/>
  <c r="I118" i="13"/>
  <c r="I129" i="13" s="1"/>
  <c r="I135" i="13" s="1"/>
  <c r="K54" i="39"/>
  <c r="K55" i="39" s="1"/>
  <c r="K66" i="39" s="1"/>
  <c r="K69" i="21"/>
  <c r="K58" i="10"/>
  <c r="K60" i="10" s="1"/>
  <c r="K56" i="10"/>
  <c r="K56" i="12"/>
  <c r="K53" i="6"/>
  <c r="K54" i="6" s="1"/>
  <c r="K55" i="6" s="1"/>
  <c r="K56" i="6" s="1"/>
  <c r="K57" i="6" s="1"/>
  <c r="K66" i="6" s="1"/>
  <c r="K67" i="6" s="1"/>
  <c r="K68" i="6" s="1"/>
  <c r="K69" i="6" s="1"/>
  <c r="K70" i="6" s="1"/>
  <c r="K71" i="6" s="1"/>
  <c r="K72" i="6" s="1"/>
  <c r="K68" i="13"/>
  <c r="K69" i="13" s="1"/>
  <c r="K70" i="13" s="1"/>
  <c r="K71" i="13" s="1"/>
  <c r="K72" i="13" s="1"/>
  <c r="C95" i="2"/>
  <c r="L95" i="2" s="1"/>
  <c r="C102" i="2"/>
  <c r="C117" i="2" s="1"/>
  <c r="C126" i="2" s="1"/>
  <c r="C128" i="2" s="1"/>
  <c r="D185" i="21" l="1"/>
  <c r="D194" i="21"/>
  <c r="F185" i="21"/>
  <c r="F194" i="21"/>
  <c r="C185" i="21"/>
  <c r="C194" i="21"/>
  <c r="E185" i="21"/>
  <c r="E194" i="21"/>
  <c r="G194" i="21"/>
  <c r="G185" i="21"/>
  <c r="K73" i="5"/>
  <c r="K74" i="5" s="1"/>
  <c r="K75" i="5" s="1"/>
  <c r="K76" i="5" s="1"/>
  <c r="K77" i="5" s="1"/>
  <c r="K78" i="5" s="1"/>
  <c r="K68" i="5"/>
  <c r="K69" i="5" s="1"/>
  <c r="K70" i="5" s="1"/>
  <c r="K71" i="5" s="1"/>
  <c r="K72" i="5" s="1"/>
  <c r="E314" i="13"/>
  <c r="E321" i="13"/>
  <c r="I168" i="2"/>
  <c r="G168" i="2"/>
  <c r="H168" i="2"/>
  <c r="F163" i="10"/>
  <c r="F156" i="10"/>
  <c r="H163" i="10"/>
  <c r="H156" i="10"/>
  <c r="E163" i="10"/>
  <c r="E156" i="10"/>
  <c r="K153" i="10"/>
  <c r="K163" i="10" s="1"/>
  <c r="K164" i="10" s="1"/>
  <c r="G163" i="10"/>
  <c r="G156" i="10"/>
  <c r="I163" i="10"/>
  <c r="I156" i="10"/>
  <c r="D163" i="10"/>
  <c r="D156" i="10"/>
  <c r="D289" i="13"/>
  <c r="D311" i="13" s="1"/>
  <c r="D282" i="13"/>
  <c r="C247" i="13"/>
  <c r="C257" i="13" s="1"/>
  <c r="C261" i="13" s="1"/>
  <c r="C276" i="13" s="1"/>
  <c r="C279" i="13" s="1"/>
  <c r="C250" i="13"/>
  <c r="K73" i="6"/>
  <c r="K74" i="6" s="1"/>
  <c r="K75" i="6" s="1"/>
  <c r="K76" i="6" s="1"/>
  <c r="K77" i="6" s="1"/>
  <c r="K78" i="6" s="1"/>
  <c r="F135" i="2"/>
  <c r="D135" i="2"/>
  <c r="D139" i="2" s="1"/>
  <c r="D150" i="2" s="1"/>
  <c r="D158" i="2" s="1"/>
  <c r="D161" i="2" s="1"/>
  <c r="K121" i="10"/>
  <c r="H154" i="21"/>
  <c r="K154" i="21" s="1"/>
  <c r="H162" i="21"/>
  <c r="H165" i="21" s="1"/>
  <c r="H171" i="21" s="1"/>
  <c r="H182" i="21" s="1"/>
  <c r="L69" i="2"/>
  <c r="L62" i="2"/>
  <c r="L70" i="2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K122" i="39"/>
  <c r="K67" i="39"/>
  <c r="K68" i="39" s="1"/>
  <c r="K69" i="39" s="1"/>
  <c r="K70" i="39" s="1"/>
  <c r="K71" i="39" s="1"/>
  <c r="D250" i="13"/>
  <c r="K70" i="21"/>
  <c r="K71" i="21" s="1"/>
  <c r="K72" i="21" s="1"/>
  <c r="K73" i="21" s="1"/>
  <c r="K74" i="21" s="1"/>
  <c r="K75" i="21" s="1"/>
  <c r="K76" i="21" s="1"/>
  <c r="I136" i="13"/>
  <c r="J136" i="13" s="1"/>
  <c r="J135" i="13"/>
  <c r="K57" i="12"/>
  <c r="K58" i="12" s="1"/>
  <c r="K59" i="12" s="1"/>
  <c r="K66" i="12" s="1"/>
  <c r="K67" i="10"/>
  <c r="K73" i="13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97" i="13" s="1"/>
  <c r="K98" i="13" s="1"/>
  <c r="K99" i="13" s="1"/>
  <c r="K100" i="13" s="1"/>
  <c r="K101" i="13" s="1"/>
  <c r="K102" i="13" s="1"/>
  <c r="K165" i="10" l="1"/>
  <c r="K166" i="10" s="1"/>
  <c r="K167" i="10" s="1"/>
  <c r="K168" i="10" s="1"/>
  <c r="K169" i="10" s="1"/>
  <c r="K170" i="10" s="1"/>
  <c r="K171" i="10" s="1"/>
  <c r="K172" i="10" s="1"/>
  <c r="K185" i="10" s="1"/>
  <c r="H194" i="21"/>
  <c r="H185" i="21"/>
  <c r="F139" i="2"/>
  <c r="F150" i="2" s="1"/>
  <c r="F158" i="2" s="1"/>
  <c r="F161" i="2" s="1"/>
  <c r="D314" i="13"/>
  <c r="D321" i="13"/>
  <c r="K124" i="10"/>
  <c r="K131" i="10"/>
  <c r="K132" i="10" s="1"/>
  <c r="K133" i="10" s="1"/>
  <c r="K134" i="10" s="1"/>
  <c r="K135" i="10" s="1"/>
  <c r="K136" i="10" s="1"/>
  <c r="K137" i="10" s="1"/>
  <c r="K138" i="10" s="1"/>
  <c r="K85" i="5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C289" i="13"/>
  <c r="C282" i="13"/>
  <c r="D168" i="2"/>
  <c r="C135" i="2"/>
  <c r="C139" i="2" s="1"/>
  <c r="C150" i="2" s="1"/>
  <c r="C158" i="2" s="1"/>
  <c r="C161" i="2" s="1"/>
  <c r="L114" i="2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8" i="2"/>
  <c r="K72" i="39"/>
  <c r="K73" i="39" s="1"/>
  <c r="K74" i="39" s="1"/>
  <c r="K75" i="39" s="1"/>
  <c r="K76" i="39" s="1"/>
  <c r="K77" i="39" s="1"/>
  <c r="K78" i="39" s="1"/>
  <c r="K68" i="10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77" i="21"/>
  <c r="K78" i="21" s="1"/>
  <c r="K79" i="21" s="1"/>
  <c r="K80" i="21" s="1"/>
  <c r="K81" i="21" s="1"/>
  <c r="K82" i="21" s="1"/>
  <c r="K83" i="21" s="1"/>
  <c r="K84" i="21" s="1"/>
  <c r="I148" i="13"/>
  <c r="J148" i="13" s="1"/>
  <c r="J150" i="13" s="1"/>
  <c r="J160" i="13" s="1"/>
  <c r="J166" i="13" s="1"/>
  <c r="K67" i="12"/>
  <c r="K68" i="12" s="1"/>
  <c r="K69" i="12" s="1"/>
  <c r="K70" i="12" s="1"/>
  <c r="K71" i="12" s="1"/>
  <c r="K72" i="12" s="1"/>
  <c r="K73" i="12" s="1"/>
  <c r="K74" i="12" s="1"/>
  <c r="K75" i="12" s="1"/>
  <c r="K76" i="12" s="1"/>
  <c r="K103" i="13"/>
  <c r="K104" i="13" s="1"/>
  <c r="F168" i="2" l="1"/>
  <c r="K139" i="10"/>
  <c r="K140" i="10" s="1"/>
  <c r="K120" i="10"/>
  <c r="K117" i="10"/>
  <c r="K118" i="10" s="1"/>
  <c r="K119" i="10" s="1"/>
  <c r="C311" i="13"/>
  <c r="L161" i="2"/>
  <c r="C168" i="2"/>
  <c r="K79" i="39"/>
  <c r="K80" i="39" s="1"/>
  <c r="K81" i="39" s="1"/>
  <c r="K82" i="39" s="1"/>
  <c r="K83" i="39" s="1"/>
  <c r="K84" i="39" s="1"/>
  <c r="K85" i="39" s="1"/>
  <c r="K86" i="39" s="1"/>
  <c r="K87" i="39" s="1"/>
  <c r="K97" i="39"/>
  <c r="K98" i="39" s="1"/>
  <c r="K86" i="21"/>
  <c r="K87" i="21" s="1"/>
  <c r="K88" i="21" s="1"/>
  <c r="K89" i="21" s="1"/>
  <c r="K100" i="21" s="1"/>
  <c r="K101" i="21" s="1"/>
  <c r="K102" i="21" s="1"/>
  <c r="K103" i="21" s="1"/>
  <c r="K104" i="21" s="1"/>
  <c r="K105" i="21" s="1"/>
  <c r="K106" i="21" s="1"/>
  <c r="K85" i="21"/>
  <c r="K90" i="10"/>
  <c r="I150" i="13"/>
  <c r="I160" i="13" s="1"/>
  <c r="K105" i="13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29" i="13" s="1"/>
  <c r="K130" i="13" s="1"/>
  <c r="K131" i="13" s="1"/>
  <c r="K132" i="13" s="1"/>
  <c r="K133" i="13" s="1"/>
  <c r="K134" i="13" s="1"/>
  <c r="I153" i="13"/>
  <c r="K77" i="12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9" i="12" s="1"/>
  <c r="L125" i="2"/>
  <c r="L126" i="2" s="1"/>
  <c r="L135" i="2" s="1"/>
  <c r="L136" i="2" s="1"/>
  <c r="L137" i="2" l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K141" i="10"/>
  <c r="K142" i="10" s="1"/>
  <c r="K143" i="10" s="1"/>
  <c r="K144" i="10" s="1"/>
  <c r="K145" i="10" s="1"/>
  <c r="K99" i="39"/>
  <c r="K100" i="39" s="1"/>
  <c r="K101" i="39" s="1"/>
  <c r="K102" i="39" s="1"/>
  <c r="K103" i="39" s="1"/>
  <c r="K104" i="39" s="1"/>
  <c r="K105" i="39" s="1"/>
  <c r="K106" i="39" s="1"/>
  <c r="K107" i="39" s="1"/>
  <c r="K108" i="39" s="1"/>
  <c r="C314" i="13"/>
  <c r="C321" i="13"/>
  <c r="K107" i="21"/>
  <c r="K108" i="21" s="1"/>
  <c r="K109" i="21" s="1"/>
  <c r="K110" i="21" s="1"/>
  <c r="K111" i="21" s="1"/>
  <c r="K112" i="21" s="1"/>
  <c r="K113" i="21" s="1"/>
  <c r="K114" i="21" s="1"/>
  <c r="K115" i="21" s="1"/>
  <c r="K116" i="21" s="1"/>
  <c r="K117" i="21" s="1"/>
  <c r="K118" i="21" s="1"/>
  <c r="K119" i="21" s="1"/>
  <c r="K129" i="21" s="1"/>
  <c r="K135" i="13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I186" i="13"/>
  <c r="K186" i="13" s="1"/>
  <c r="I193" i="13"/>
  <c r="I205" i="13" s="1"/>
  <c r="I215" i="13" s="1"/>
  <c r="K100" i="12"/>
  <c r="K101" i="12" s="1"/>
  <c r="K102" i="12" s="1"/>
  <c r="K103" i="12" s="1"/>
  <c r="K104" i="12" s="1"/>
  <c r="K105" i="12" s="1"/>
  <c r="K106" i="12" s="1"/>
  <c r="K107" i="12" s="1"/>
  <c r="L193" i="2" l="1"/>
  <c r="L190" i="2"/>
  <c r="L152" i="2"/>
  <c r="L153" i="2" s="1"/>
  <c r="L154" i="2" s="1"/>
  <c r="L155" i="2" s="1"/>
  <c r="L156" i="2" s="1"/>
  <c r="L157" i="2" s="1"/>
  <c r="L158" i="2" s="1"/>
  <c r="L168" i="2" s="1"/>
  <c r="L169" i="2" s="1"/>
  <c r="K146" i="10"/>
  <c r="K109" i="39"/>
  <c r="K110" i="39" s="1"/>
  <c r="K111" i="39" s="1"/>
  <c r="K112" i="39" s="1"/>
  <c r="K113" i="39" s="1"/>
  <c r="K114" i="39" s="1"/>
  <c r="K115" i="39" s="1"/>
  <c r="K116" i="39" s="1"/>
  <c r="K130" i="21"/>
  <c r="K131" i="21" s="1"/>
  <c r="K132" i="21" s="1"/>
  <c r="K108" i="12"/>
  <c r="K109" i="12" s="1"/>
  <c r="K110" i="12" s="1"/>
  <c r="K111" i="12" s="1"/>
  <c r="K112" i="12" s="1"/>
  <c r="K113" i="12" s="1"/>
  <c r="K114" i="12" s="1"/>
  <c r="K115" i="12" s="1"/>
  <c r="K116" i="12" s="1"/>
  <c r="K117" i="12" s="1"/>
  <c r="K118" i="12" s="1"/>
  <c r="K119" i="12" s="1"/>
  <c r="K120" i="12" s="1"/>
  <c r="K121" i="12" s="1"/>
  <c r="K124" i="12" s="1"/>
  <c r="K193" i="13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I225" i="13"/>
  <c r="I228" i="13" s="1"/>
  <c r="I247" i="13" s="1"/>
  <c r="I257" i="13" s="1"/>
  <c r="I261" i="13" s="1"/>
  <c r="I276" i="13" s="1"/>
  <c r="I279" i="13" s="1"/>
  <c r="I218" i="13"/>
  <c r="K218" i="13" s="1"/>
  <c r="K153" i="13"/>
  <c r="K133" i="21" l="1"/>
  <c r="K134" i="21" s="1"/>
  <c r="K135" i="21" s="1"/>
  <c r="K136" i="21" s="1"/>
  <c r="K137" i="21" s="1"/>
  <c r="K138" i="21" s="1"/>
  <c r="K139" i="21" s="1"/>
  <c r="K140" i="21" s="1"/>
  <c r="K141" i="21" s="1"/>
  <c r="K142" i="21" s="1"/>
  <c r="K143" i="21" s="1"/>
  <c r="K144" i="21" s="1"/>
  <c r="K145" i="21" s="1"/>
  <c r="K146" i="21" s="1"/>
  <c r="K147" i="21" s="1"/>
  <c r="K148" i="21" s="1"/>
  <c r="K149" i="21" s="1"/>
  <c r="K150" i="21" s="1"/>
  <c r="K151" i="21" s="1"/>
  <c r="K162" i="21" s="1"/>
  <c r="K163" i="21" s="1"/>
  <c r="K164" i="21" s="1"/>
  <c r="K165" i="21" s="1"/>
  <c r="K166" i="21" s="1"/>
  <c r="L176" i="2"/>
  <c r="L177" i="2" s="1"/>
  <c r="L178" i="2" s="1"/>
  <c r="L179" i="2" s="1"/>
  <c r="L170" i="2"/>
  <c r="L171" i="2" s="1"/>
  <c r="L172" i="2" s="1"/>
  <c r="L173" i="2" s="1"/>
  <c r="K147" i="10"/>
  <c r="K148" i="10" s="1"/>
  <c r="K156" i="10"/>
  <c r="K119" i="39"/>
  <c r="K117" i="39"/>
  <c r="K118" i="39" s="1"/>
  <c r="K129" i="39" s="1"/>
  <c r="K130" i="39" s="1"/>
  <c r="K137" i="39" s="1"/>
  <c r="K138" i="39" s="1"/>
  <c r="I289" i="13"/>
  <c r="I311" i="13" s="1"/>
  <c r="I314" i="13" s="1"/>
  <c r="I282" i="13"/>
  <c r="K131" i="12"/>
  <c r="K205" i="13"/>
  <c r="K206" i="13" s="1"/>
  <c r="K207" i="13" s="1"/>
  <c r="K208" i="13" s="1"/>
  <c r="K209" i="13" s="1"/>
  <c r="K210" i="13" s="1"/>
  <c r="K211" i="13" s="1"/>
  <c r="K212" i="13" s="1"/>
  <c r="K213" i="13" s="1"/>
  <c r="K21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I250" i="13"/>
  <c r="K250" i="13" s="1"/>
  <c r="K167" i="21" l="1"/>
  <c r="K168" i="21" s="1"/>
  <c r="K169" i="21" s="1"/>
  <c r="K170" i="21" s="1"/>
  <c r="K171" i="21" s="1"/>
  <c r="K152" i="10"/>
  <c r="K149" i="10"/>
  <c r="K150" i="10" s="1"/>
  <c r="K151" i="10" s="1"/>
  <c r="K132" i="12"/>
  <c r="K133" i="12" s="1"/>
  <c r="K134" i="12" s="1"/>
  <c r="K135" i="12" s="1"/>
  <c r="K136" i="12" s="1"/>
  <c r="K137" i="12" s="1"/>
  <c r="K246" i="13"/>
  <c r="K215" i="13"/>
  <c r="K185" i="21" l="1"/>
  <c r="K172" i="21"/>
  <c r="K173" i="21" s="1"/>
  <c r="K174" i="21" s="1"/>
  <c r="K175" i="21" s="1"/>
  <c r="K176" i="21" s="1"/>
  <c r="K177" i="21" s="1"/>
  <c r="K178" i="21" s="1"/>
  <c r="K179" i="21" s="1"/>
  <c r="K180" i="21" s="1"/>
  <c r="K149" i="39"/>
  <c r="K138" i="12"/>
  <c r="K139" i="12" s="1"/>
  <c r="K140" i="12" s="1"/>
  <c r="K141" i="12" s="1"/>
  <c r="K142" i="12" s="1"/>
  <c r="K143" i="12" s="1"/>
  <c r="K144" i="12" s="1"/>
  <c r="K247" i="13"/>
  <c r="K257" i="13"/>
  <c r="K258" i="13" s="1"/>
  <c r="K181" i="21" l="1"/>
  <c r="K182" i="21" s="1"/>
  <c r="K194" i="21" s="1"/>
  <c r="K195" i="21" s="1"/>
  <c r="K201" i="21" s="1"/>
  <c r="K202" i="21" s="1"/>
  <c r="K145" i="12"/>
  <c r="K146" i="12" s="1"/>
  <c r="K147" i="12" s="1"/>
  <c r="K148" i="12" s="1"/>
  <c r="K149" i="12" s="1"/>
  <c r="K259" i="13"/>
  <c r="K260" i="13" s="1"/>
  <c r="K261" i="13" s="1"/>
  <c r="K57" i="5"/>
  <c r="K203" i="21" l="1"/>
  <c r="K213" i="21" s="1"/>
  <c r="K150" i="12"/>
  <c r="K262" i="13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151" i="12" l="1"/>
  <c r="K152" i="12" s="1"/>
  <c r="K153" i="12" s="1"/>
  <c r="K163" i="12" s="1"/>
  <c r="K156" i="12"/>
  <c r="K277" i="13"/>
  <c r="K278" i="13" s="1"/>
  <c r="K282" i="13"/>
  <c r="K164" i="12" l="1"/>
  <c r="K165" i="12" s="1"/>
  <c r="K166" i="12" s="1"/>
  <c r="K167" i="12" s="1"/>
  <c r="K168" i="12" s="1"/>
  <c r="K169" i="12" s="1"/>
  <c r="K170" i="12" s="1"/>
  <c r="K171" i="12" s="1"/>
  <c r="K172" i="12" s="1"/>
  <c r="K173" i="12" s="1"/>
  <c r="K174" i="12" s="1"/>
  <c r="K175" i="12" s="1"/>
  <c r="K176" i="12" s="1"/>
  <c r="K177" i="12" s="1"/>
  <c r="K178" i="12" s="1"/>
  <c r="K179" i="12" s="1"/>
  <c r="K185" i="12" s="1"/>
  <c r="K188" i="12" s="1"/>
  <c r="K279" i="13"/>
  <c r="K289" i="13"/>
  <c r="K290" i="13" s="1"/>
  <c r="C66" i="5"/>
  <c r="C78" i="5" s="1"/>
  <c r="C97" i="5" l="1"/>
  <c r="C103" i="5" s="1"/>
  <c r="C109" i="5" s="1"/>
  <c r="C111" i="5" s="1"/>
  <c r="C120" i="5" s="1"/>
  <c r="C128" i="5" s="1"/>
  <c r="C137" i="5" s="1"/>
  <c r="C87" i="5"/>
  <c r="C122" i="5" l="1"/>
  <c r="K122" i="5" s="1"/>
  <c r="K310" i="13"/>
  <c r="C152" i="5"/>
  <c r="K152" i="5" s="1"/>
  <c r="J137" i="5"/>
  <c r="K311" i="13" l="1"/>
  <c r="K314" i="13" s="1"/>
  <c r="K321" i="13"/>
  <c r="K322" i="13" s="1"/>
  <c r="K323" i="13" s="1"/>
  <c r="K324" i="13" s="1"/>
  <c r="K343" i="13" s="1"/>
</calcChain>
</file>

<file path=xl/sharedStrings.xml><?xml version="1.0" encoding="utf-8"?>
<sst xmlns="http://schemas.openxmlformats.org/spreadsheetml/2006/main" count="2569" uniqueCount="933">
  <si>
    <t>TOTAUX</t>
  </si>
  <si>
    <t>Articles</t>
  </si>
  <si>
    <t>N°2</t>
  </si>
  <si>
    <t>N°3</t>
  </si>
  <si>
    <t>EMISSIONS</t>
  </si>
  <si>
    <t>CT 02 A Livre d'exécution des opérations budgétaires dépenses</t>
  </si>
  <si>
    <t>Intitulé :</t>
  </si>
  <si>
    <t>Administration</t>
  </si>
  <si>
    <t>Fonctionnement de la municipalité</t>
  </si>
  <si>
    <t>RECETTE MUNICIPALE</t>
  </si>
  <si>
    <t>Gardes municipaux</t>
  </si>
  <si>
    <t>DE GBOGUHE</t>
  </si>
  <si>
    <t>COMMUNE DE GBOGUHE</t>
  </si>
  <si>
    <t>Compte :</t>
  </si>
  <si>
    <t>Code Commune : 491</t>
  </si>
  <si>
    <t>Exercice : 2018</t>
  </si>
  <si>
    <t>Total Bordereau</t>
  </si>
  <si>
    <t>Total Cumulé</t>
  </si>
  <si>
    <t>Prévisions  BUDGETS</t>
  </si>
  <si>
    <t>Décision Modificative  N°1</t>
  </si>
  <si>
    <t>Total des Prévisions</t>
  </si>
  <si>
    <t>Numéros des Mandats</t>
  </si>
  <si>
    <t>Fonctionnement du Conseil et des commissions</t>
  </si>
  <si>
    <t>Fonctionnement du Cabinet du Maire</t>
  </si>
  <si>
    <t>Indemnités de fonction et de représentation</t>
  </si>
  <si>
    <t>Frais de missions en dehors du territoire national</t>
  </si>
  <si>
    <t>Autres dépenses au titre des autorités municipales</t>
  </si>
  <si>
    <t>Etat civil et population</t>
  </si>
  <si>
    <t>Autres dépenses d'Administration générale</t>
  </si>
  <si>
    <t>Nettoiement de la voirie - Enlèvement des ordures</t>
  </si>
  <si>
    <t>Autres dettes de la commune</t>
  </si>
  <si>
    <t>Autres dépenses au titre des activités culturelles</t>
  </si>
  <si>
    <t>Association des villes et communes</t>
  </si>
  <si>
    <t xml:space="preserve">Conférences intercommunales - </t>
  </si>
  <si>
    <t>Responsabilité civile</t>
  </si>
  <si>
    <t>Assurance du personnel</t>
  </si>
  <si>
    <t>Assurances des véhicules</t>
  </si>
  <si>
    <t>Autres assurances (Assurances des élus)</t>
  </si>
  <si>
    <t>Cérémonies publiques</t>
  </si>
  <si>
    <t>Fètes et réceptions officielles</t>
  </si>
  <si>
    <t>Fonds d'investissement</t>
  </si>
  <si>
    <t>culturels et de promotion humaine</t>
  </si>
  <si>
    <t>N° Mandats Articles</t>
  </si>
  <si>
    <t>Report</t>
  </si>
  <si>
    <t>DE VAVOUA</t>
  </si>
  <si>
    <t>Code Commune : 433</t>
  </si>
  <si>
    <t xml:space="preserve">Abattoir - conservation </t>
  </si>
  <si>
    <t>Transport de viande</t>
  </si>
  <si>
    <t>Programmes speciaux et Operation diverses</t>
  </si>
  <si>
    <t>Voiries- Routes- Chemins</t>
  </si>
  <si>
    <t>COMMUNE DE VAVOUA</t>
  </si>
  <si>
    <t>FEVRIER</t>
  </si>
  <si>
    <t>COMMUNE DE  VAVOUA</t>
  </si>
  <si>
    <t>Indemnités ,Frais te dommages et Intérets</t>
  </si>
  <si>
    <t>Fonds de réserve ordinaire</t>
  </si>
  <si>
    <t xml:space="preserve">Autres contribution et Transfert - </t>
  </si>
  <si>
    <t>Autres dépenses de transports et communications</t>
  </si>
  <si>
    <t xml:space="preserve">Projets agricoles </t>
  </si>
  <si>
    <t>Autres dépenses au titre des sports et loisirs</t>
  </si>
  <si>
    <t>AVRIL</t>
  </si>
  <si>
    <t>MAI</t>
  </si>
  <si>
    <t>TOTAL</t>
  </si>
  <si>
    <t>Autres dépenses d'Assistance Sociales</t>
  </si>
  <si>
    <t>Manifestation sportives</t>
  </si>
  <si>
    <t>JUIN</t>
  </si>
  <si>
    <t>JUILLET</t>
  </si>
  <si>
    <t>AOUT</t>
  </si>
  <si>
    <t>RAM</t>
  </si>
  <si>
    <t>Autres dépenses d'éducation</t>
  </si>
  <si>
    <t>SEPTEMBRE</t>
  </si>
  <si>
    <t>OCTOBRE</t>
  </si>
  <si>
    <t>DE VAVOUAE</t>
  </si>
  <si>
    <t>Aide aux indigents</t>
  </si>
  <si>
    <t>Aide aux familiale ,sociale</t>
  </si>
  <si>
    <t>NOVEMBRE</t>
  </si>
  <si>
    <t>Exercice : 2019</t>
  </si>
  <si>
    <t>01-06/01</t>
  </si>
  <si>
    <t>08/01</t>
  </si>
  <si>
    <t>07/01</t>
  </si>
  <si>
    <t>09-10/02</t>
  </si>
  <si>
    <t>11-15/02</t>
  </si>
  <si>
    <t>25-33/04</t>
  </si>
  <si>
    <t>41-44/06</t>
  </si>
  <si>
    <t>48/07</t>
  </si>
  <si>
    <t>53/10</t>
  </si>
  <si>
    <t>51-52/09</t>
  </si>
  <si>
    <t>56/10</t>
  </si>
  <si>
    <t>57/10</t>
  </si>
  <si>
    <t>58/10</t>
  </si>
  <si>
    <t>60/10</t>
  </si>
  <si>
    <t>16/03</t>
  </si>
  <si>
    <t>18/03</t>
  </si>
  <si>
    <t>24/03</t>
  </si>
  <si>
    <t>17/03</t>
  </si>
  <si>
    <t>19/03</t>
  </si>
  <si>
    <t>21-23/03</t>
  </si>
  <si>
    <t>20/03</t>
  </si>
  <si>
    <t>34-38/05</t>
  </si>
  <si>
    <t>39/05</t>
  </si>
  <si>
    <t>40/05</t>
  </si>
  <si>
    <t>45-46/07</t>
  </si>
  <si>
    <t>47/07</t>
  </si>
  <si>
    <t>59-60/10</t>
  </si>
  <si>
    <t>61/11</t>
  </si>
  <si>
    <t>64/11</t>
  </si>
  <si>
    <t>65/11</t>
  </si>
  <si>
    <t>66/11</t>
  </si>
  <si>
    <t>67-68/11</t>
  </si>
  <si>
    <t>69/12</t>
  </si>
  <si>
    <t>72/12</t>
  </si>
  <si>
    <t>73/12</t>
  </si>
  <si>
    <t>74/12</t>
  </si>
  <si>
    <t>75-76/12</t>
  </si>
  <si>
    <t>77/13</t>
  </si>
  <si>
    <t>78/14</t>
  </si>
  <si>
    <t>79-84/15</t>
  </si>
  <si>
    <t>85/15</t>
  </si>
  <si>
    <t>86/15</t>
  </si>
  <si>
    <t>87-88/16</t>
  </si>
  <si>
    <t>95/17</t>
  </si>
  <si>
    <t>97/17</t>
  </si>
  <si>
    <t>99-101/17</t>
  </si>
  <si>
    <t>98/17</t>
  </si>
  <si>
    <t>103-110/18</t>
  </si>
  <si>
    <t>111-115/19</t>
  </si>
  <si>
    <t>117/19</t>
  </si>
  <si>
    <t>116/19</t>
  </si>
  <si>
    <t>118-121/20</t>
  </si>
  <si>
    <t>123-124/21</t>
  </si>
  <si>
    <t>126/21</t>
  </si>
  <si>
    <t>125/21</t>
  </si>
  <si>
    <t>128-129/23</t>
  </si>
  <si>
    <t>130/24</t>
  </si>
  <si>
    <t>133/24</t>
  </si>
  <si>
    <t>134/24</t>
  </si>
  <si>
    <t>135/24</t>
  </si>
  <si>
    <t>136-137/24</t>
  </si>
  <si>
    <t xml:space="preserve">     </t>
  </si>
  <si>
    <t>142/25</t>
  </si>
  <si>
    <t>143/25</t>
  </si>
  <si>
    <t>144-145/25</t>
  </si>
  <si>
    <t>150/26</t>
  </si>
  <si>
    <t>151/26</t>
  </si>
  <si>
    <t>152-153/26</t>
  </si>
  <si>
    <t>49-50/08</t>
  </si>
  <si>
    <t>54-55/10</t>
  </si>
  <si>
    <t>62-63/11</t>
  </si>
  <si>
    <t>70-71/12</t>
  </si>
  <si>
    <t>89-93/16</t>
  </si>
  <si>
    <t>94/17</t>
  </si>
  <si>
    <t>96/17</t>
  </si>
  <si>
    <t>102/17</t>
  </si>
  <si>
    <t>122/20</t>
  </si>
  <si>
    <t>127/22</t>
  </si>
  <si>
    <t>131-132/24</t>
  </si>
  <si>
    <t>138/25</t>
  </si>
  <si>
    <t>139-140/25</t>
  </si>
  <si>
    <t>141/25</t>
  </si>
  <si>
    <t>146/26</t>
  </si>
  <si>
    <t>147-148/26</t>
  </si>
  <si>
    <t>149/26</t>
  </si>
  <si>
    <t>154/27</t>
  </si>
  <si>
    <t>155/28</t>
  </si>
  <si>
    <t>156/28</t>
  </si>
  <si>
    <t>157/28</t>
  </si>
  <si>
    <t>158/28</t>
  </si>
  <si>
    <t>159/28</t>
  </si>
  <si>
    <t>160/28</t>
  </si>
  <si>
    <t>161/28</t>
  </si>
  <si>
    <t>162/28</t>
  </si>
  <si>
    <t>163/29</t>
  </si>
  <si>
    <t>164/29</t>
  </si>
  <si>
    <t>165/29</t>
  </si>
  <si>
    <t>166/29</t>
  </si>
  <si>
    <t>167/29</t>
  </si>
  <si>
    <t>168/29</t>
  </si>
  <si>
    <t>169/29</t>
  </si>
  <si>
    <t>170/29</t>
  </si>
  <si>
    <t>171/29</t>
  </si>
  <si>
    <t>172/30</t>
  </si>
  <si>
    <t>173/30</t>
  </si>
  <si>
    <t>174/30</t>
  </si>
  <si>
    <t>175/30</t>
  </si>
  <si>
    <t>176/30</t>
  </si>
  <si>
    <t>177/30</t>
  </si>
  <si>
    <t>178/30</t>
  </si>
  <si>
    <t>179/30</t>
  </si>
  <si>
    <t>180/31</t>
  </si>
  <si>
    <t>181/31</t>
  </si>
  <si>
    <t>182/31</t>
  </si>
  <si>
    <t>183/31</t>
  </si>
  <si>
    <t>184/31</t>
  </si>
  <si>
    <t>185/31</t>
  </si>
  <si>
    <t>186/31</t>
  </si>
  <si>
    <t>187/32</t>
  </si>
  <si>
    <t>188/32</t>
  </si>
  <si>
    <t>189/32</t>
  </si>
  <si>
    <t>190/32</t>
  </si>
  <si>
    <t>191/32</t>
  </si>
  <si>
    <t>192/32</t>
  </si>
  <si>
    <t>193/32</t>
  </si>
  <si>
    <t>194/33</t>
  </si>
  <si>
    <t>195/33</t>
  </si>
  <si>
    <t>196/33</t>
  </si>
  <si>
    <t>197/33</t>
  </si>
  <si>
    <t>198/33</t>
  </si>
  <si>
    <t>199/33</t>
  </si>
  <si>
    <t>200/34</t>
  </si>
  <si>
    <t>201/34</t>
  </si>
  <si>
    <t>202/34</t>
  </si>
  <si>
    <t>203/35</t>
  </si>
  <si>
    <t>204/35</t>
  </si>
  <si>
    <t>205/36</t>
  </si>
  <si>
    <t>206/36</t>
  </si>
  <si>
    <t>207/36</t>
  </si>
  <si>
    <t>208/36</t>
  </si>
  <si>
    <t>209/36</t>
  </si>
  <si>
    <t>210/36</t>
  </si>
  <si>
    <t>211/37</t>
  </si>
  <si>
    <t>212/37</t>
  </si>
  <si>
    <t>213/37</t>
  </si>
  <si>
    <t>214/37</t>
  </si>
  <si>
    <t>215/37</t>
  </si>
  <si>
    <t>216/37</t>
  </si>
  <si>
    <t>217/38</t>
  </si>
  <si>
    <t>218/38</t>
  </si>
  <si>
    <t>219/38</t>
  </si>
  <si>
    <t>220/38</t>
  </si>
  <si>
    <t>221/38</t>
  </si>
  <si>
    <t>222/38</t>
  </si>
  <si>
    <t>223/39</t>
  </si>
  <si>
    <t>224/40</t>
  </si>
  <si>
    <t>225/41</t>
  </si>
  <si>
    <t>226/41</t>
  </si>
  <si>
    <t>227/41</t>
  </si>
  <si>
    <t>228/41</t>
  </si>
  <si>
    <t>229/41</t>
  </si>
  <si>
    <t>230/41</t>
  </si>
  <si>
    <t>231/41</t>
  </si>
  <si>
    <t>232/41</t>
  </si>
  <si>
    <t>233/42</t>
  </si>
  <si>
    <t>234/42</t>
  </si>
  <si>
    <t>235/42</t>
  </si>
  <si>
    <t>236/42</t>
  </si>
  <si>
    <t>237/42</t>
  </si>
  <si>
    <t>238/42</t>
  </si>
  <si>
    <t>239/42</t>
  </si>
  <si>
    <t>240/42</t>
  </si>
  <si>
    <t>241/42</t>
  </si>
  <si>
    <t>242/43</t>
  </si>
  <si>
    <t>243/43</t>
  </si>
  <si>
    <t>244/43</t>
  </si>
  <si>
    <t>245/43</t>
  </si>
  <si>
    <t>246/43</t>
  </si>
  <si>
    <t>247/43</t>
  </si>
  <si>
    <t>248/43</t>
  </si>
  <si>
    <t>249/44</t>
  </si>
  <si>
    <t>250/44</t>
  </si>
  <si>
    <t>251/44</t>
  </si>
  <si>
    <t>252/44</t>
  </si>
  <si>
    <t>253/44</t>
  </si>
  <si>
    <t>254/44</t>
  </si>
  <si>
    <t>255/45</t>
  </si>
  <si>
    <t>256/45</t>
  </si>
  <si>
    <t>257/45</t>
  </si>
  <si>
    <t>258/45</t>
  </si>
  <si>
    <t>259/45</t>
  </si>
  <si>
    <t>260/45</t>
  </si>
  <si>
    <t>261/45</t>
  </si>
  <si>
    <t>262/45</t>
  </si>
  <si>
    <t>263/46</t>
  </si>
  <si>
    <t>264/46</t>
  </si>
  <si>
    <t>265/46</t>
  </si>
  <si>
    <t>266/46</t>
  </si>
  <si>
    <t>267/46</t>
  </si>
  <si>
    <t>268/46</t>
  </si>
  <si>
    <t>269/46</t>
  </si>
  <si>
    <t>270/47</t>
  </si>
  <si>
    <t>271/47</t>
  </si>
  <si>
    <t>272/47</t>
  </si>
  <si>
    <t>273/48</t>
  </si>
  <si>
    <t>274/48</t>
  </si>
  <si>
    <t>275/49</t>
  </si>
  <si>
    <t>276/49</t>
  </si>
  <si>
    <t>277/49</t>
  </si>
  <si>
    <t>278/49</t>
  </si>
  <si>
    <t>279/49</t>
  </si>
  <si>
    <t>280/49</t>
  </si>
  <si>
    <t>281/50</t>
  </si>
  <si>
    <t>282/50</t>
  </si>
  <si>
    <t>283/50</t>
  </si>
  <si>
    <t>284/50</t>
  </si>
  <si>
    <t>285/50</t>
  </si>
  <si>
    <t>286/50</t>
  </si>
  <si>
    <t>287/51</t>
  </si>
  <si>
    <t>288/51</t>
  </si>
  <si>
    <t>289/51</t>
  </si>
  <si>
    <t>290/51</t>
  </si>
  <si>
    <t>291/51</t>
  </si>
  <si>
    <t>292/51</t>
  </si>
  <si>
    <t>293/52</t>
  </si>
  <si>
    <t>294/53</t>
  </si>
  <si>
    <t>295/54</t>
  </si>
  <si>
    <t>296/55</t>
  </si>
  <si>
    <t>297/55</t>
  </si>
  <si>
    <t>298/55</t>
  </si>
  <si>
    <t>299/55</t>
  </si>
  <si>
    <t>300/55</t>
  </si>
  <si>
    <t>301/55</t>
  </si>
  <si>
    <t>302/55</t>
  </si>
  <si>
    <t>303/55</t>
  </si>
  <si>
    <t>304/56</t>
  </si>
  <si>
    <t>305/56</t>
  </si>
  <si>
    <t>306/56</t>
  </si>
  <si>
    <t>307/56</t>
  </si>
  <si>
    <t>308/56</t>
  </si>
  <si>
    <t>309/56</t>
  </si>
  <si>
    <t>310/56</t>
  </si>
  <si>
    <t>311/56</t>
  </si>
  <si>
    <t>312/56</t>
  </si>
  <si>
    <t>313/57</t>
  </si>
  <si>
    <t>314/57</t>
  </si>
  <si>
    <t>315/57</t>
  </si>
  <si>
    <t>316/57</t>
  </si>
  <si>
    <t>317/57</t>
  </si>
  <si>
    <t>318/57</t>
  </si>
  <si>
    <t>319/57</t>
  </si>
  <si>
    <t>320/58</t>
  </si>
  <si>
    <t>321/58</t>
  </si>
  <si>
    <t>322/58</t>
  </si>
  <si>
    <t>323/58</t>
  </si>
  <si>
    <t>324/59</t>
  </si>
  <si>
    <t>325/59</t>
  </si>
  <si>
    <t>326/59</t>
  </si>
  <si>
    <t>327/59</t>
  </si>
  <si>
    <t>328/59</t>
  </si>
  <si>
    <t>329/59</t>
  </si>
  <si>
    <t>330/59</t>
  </si>
  <si>
    <t>331/59</t>
  </si>
  <si>
    <t>332/60</t>
  </si>
  <si>
    <t>333/60</t>
  </si>
  <si>
    <t>334/60</t>
  </si>
  <si>
    <t>335/60</t>
  </si>
  <si>
    <t>336/60</t>
  </si>
  <si>
    <t>337/60</t>
  </si>
  <si>
    <t>338/60</t>
  </si>
  <si>
    <t>339/61</t>
  </si>
  <si>
    <t>340/61</t>
  </si>
  <si>
    <t>341/61</t>
  </si>
  <si>
    <t>342/62</t>
  </si>
  <si>
    <t>343/62</t>
  </si>
  <si>
    <t>344/63</t>
  </si>
  <si>
    <t>345/63</t>
  </si>
  <si>
    <t>346/63</t>
  </si>
  <si>
    <t>347/63</t>
  </si>
  <si>
    <t>348/63</t>
  </si>
  <si>
    <t>349/63</t>
  </si>
  <si>
    <t>350/64</t>
  </si>
  <si>
    <t>351/64</t>
  </si>
  <si>
    <t>352/64</t>
  </si>
  <si>
    <t>353/64</t>
  </si>
  <si>
    <t>354/64</t>
  </si>
  <si>
    <t>355/64</t>
  </si>
  <si>
    <t>356/65</t>
  </si>
  <si>
    <t>357/65</t>
  </si>
  <si>
    <t>358/65</t>
  </si>
  <si>
    <t>359/65</t>
  </si>
  <si>
    <t>360/65</t>
  </si>
  <si>
    <t>361/65</t>
  </si>
  <si>
    <t>362/66</t>
  </si>
  <si>
    <t>MARS</t>
  </si>
  <si>
    <t>363/67</t>
  </si>
  <si>
    <t>364/67</t>
  </si>
  <si>
    <t>365/67</t>
  </si>
  <si>
    <t>366/67</t>
  </si>
  <si>
    <t>367/67</t>
  </si>
  <si>
    <t>368/67</t>
  </si>
  <si>
    <t>369/67</t>
  </si>
  <si>
    <t>370/67</t>
  </si>
  <si>
    <t>371/68</t>
  </si>
  <si>
    <t>372/68</t>
  </si>
  <si>
    <t>373/68</t>
  </si>
  <si>
    <t>374/68</t>
  </si>
  <si>
    <t>375/68</t>
  </si>
  <si>
    <t>376/68</t>
  </si>
  <si>
    <t>377/68</t>
  </si>
  <si>
    <t>378/68</t>
  </si>
  <si>
    <t>379/68</t>
  </si>
  <si>
    <t>380/69</t>
  </si>
  <si>
    <t>381/69</t>
  </si>
  <si>
    <t>382/69</t>
  </si>
  <si>
    <t>383/69</t>
  </si>
  <si>
    <t>384/69</t>
  </si>
  <si>
    <t>385/69</t>
  </si>
  <si>
    <t>386/69</t>
  </si>
  <si>
    <t>387/70</t>
  </si>
  <si>
    <t>388/70</t>
  </si>
  <si>
    <t>389/70</t>
  </si>
  <si>
    <t>390/70</t>
  </si>
  <si>
    <t>391/70</t>
  </si>
  <si>
    <t>392/70</t>
  </si>
  <si>
    <t>393/70</t>
  </si>
  <si>
    <t>394/70</t>
  </si>
  <si>
    <t>395/71</t>
  </si>
  <si>
    <t>396/71</t>
  </si>
  <si>
    <t>397/71</t>
  </si>
  <si>
    <t>398/71</t>
  </si>
  <si>
    <t>399/71</t>
  </si>
  <si>
    <t>400/71</t>
  </si>
  <si>
    <t>401/71</t>
  </si>
  <si>
    <t>402/72</t>
  </si>
  <si>
    <t>403/72</t>
  </si>
  <si>
    <t>404/72</t>
  </si>
  <si>
    <t>405/72</t>
  </si>
  <si>
    <t>406/73</t>
  </si>
  <si>
    <t>407/73</t>
  </si>
  <si>
    <t>408/73</t>
  </si>
  <si>
    <t>409/74</t>
  </si>
  <si>
    <t>410/74</t>
  </si>
  <si>
    <t>411/75</t>
  </si>
  <si>
    <t>412/75</t>
  </si>
  <si>
    <t>413/75</t>
  </si>
  <si>
    <t>414/75</t>
  </si>
  <si>
    <t>415/75</t>
  </si>
  <si>
    <t>416/75</t>
  </si>
  <si>
    <t>417/76</t>
  </si>
  <si>
    <t>418/76</t>
  </si>
  <si>
    <t>419/76</t>
  </si>
  <si>
    <t>420/76</t>
  </si>
  <si>
    <t>421/76</t>
  </si>
  <si>
    <t>422/76</t>
  </si>
  <si>
    <t>423/77</t>
  </si>
  <si>
    <t>424/77</t>
  </si>
  <si>
    <t>425/77</t>
  </si>
  <si>
    <t>426/77</t>
  </si>
  <si>
    <t>427/77</t>
  </si>
  <si>
    <t>428/77</t>
  </si>
  <si>
    <t>429/78</t>
  </si>
  <si>
    <t>430/78</t>
  </si>
  <si>
    <t>431/78</t>
  </si>
  <si>
    <t>432/78</t>
  </si>
  <si>
    <t>433/78</t>
  </si>
  <si>
    <t>total</t>
  </si>
  <si>
    <t>434/78</t>
  </si>
  <si>
    <t>435/78</t>
  </si>
  <si>
    <t>436/78</t>
  </si>
  <si>
    <t>437/79</t>
  </si>
  <si>
    <t>438/79</t>
  </si>
  <si>
    <t>439/79</t>
  </si>
  <si>
    <t>440/79</t>
  </si>
  <si>
    <t>441/79</t>
  </si>
  <si>
    <t>442/79</t>
  </si>
  <si>
    <t>443/79</t>
  </si>
  <si>
    <t>444/79</t>
  </si>
  <si>
    <t>445/79</t>
  </si>
  <si>
    <t>446/80</t>
  </si>
  <si>
    <t>447/80</t>
  </si>
  <si>
    <t>448/80</t>
  </si>
  <si>
    <t>449/80</t>
  </si>
  <si>
    <t>450/80</t>
  </si>
  <si>
    <t>451/80</t>
  </si>
  <si>
    <t>452/80</t>
  </si>
  <si>
    <t>453/81</t>
  </si>
  <si>
    <t>454/81</t>
  </si>
  <si>
    <t>455/81</t>
  </si>
  <si>
    <t>456/81</t>
  </si>
  <si>
    <t>457/81</t>
  </si>
  <si>
    <t>458/81</t>
  </si>
  <si>
    <t>459/81</t>
  </si>
  <si>
    <t>460/81</t>
  </si>
  <si>
    <t>461/82</t>
  </si>
  <si>
    <t>462/82</t>
  </si>
  <si>
    <t>463/82</t>
  </si>
  <si>
    <t>464/82</t>
  </si>
  <si>
    <t>465/82</t>
  </si>
  <si>
    <t>466/82</t>
  </si>
  <si>
    <t>467/82</t>
  </si>
  <si>
    <t>468/83</t>
  </si>
  <si>
    <t>469/83</t>
  </si>
  <si>
    <t>470/83</t>
  </si>
  <si>
    <t>471/83</t>
  </si>
  <si>
    <t>472/84</t>
  </si>
  <si>
    <t>473/84</t>
  </si>
  <si>
    <t>474/84</t>
  </si>
  <si>
    <t>475/85</t>
  </si>
  <si>
    <t>476/85</t>
  </si>
  <si>
    <t>477/85</t>
  </si>
  <si>
    <t>478/85</t>
  </si>
  <si>
    <t>479/85</t>
  </si>
  <si>
    <t>480/85</t>
  </si>
  <si>
    <t>481/86</t>
  </si>
  <si>
    <t>482/86</t>
  </si>
  <si>
    <t>483/86</t>
  </si>
  <si>
    <t>484/86</t>
  </si>
  <si>
    <t>485/86</t>
  </si>
  <si>
    <t>486/86</t>
  </si>
  <si>
    <t>487/87</t>
  </si>
  <si>
    <t>488/87</t>
  </si>
  <si>
    <t>489/87</t>
  </si>
  <si>
    <t>490/87</t>
  </si>
  <si>
    <t>491/87</t>
  </si>
  <si>
    <t>492/87</t>
  </si>
  <si>
    <t>493/88</t>
  </si>
  <si>
    <t>494/88</t>
  </si>
  <si>
    <t>495/88</t>
  </si>
  <si>
    <t>496/88</t>
  </si>
  <si>
    <t>497/88</t>
  </si>
  <si>
    <t>498/88</t>
  </si>
  <si>
    <t>499/88</t>
  </si>
  <si>
    <t>500/88</t>
  </si>
  <si>
    <t>501/88</t>
  </si>
  <si>
    <t>502/89</t>
  </si>
  <si>
    <t>503/89</t>
  </si>
  <si>
    <t>504/89</t>
  </si>
  <si>
    <t>510/90</t>
  </si>
  <si>
    <t>511/90</t>
  </si>
  <si>
    <t>512/90</t>
  </si>
  <si>
    <t>514/91</t>
  </si>
  <si>
    <t>515/91</t>
  </si>
  <si>
    <t>516/91</t>
  </si>
  <si>
    <t>517/91</t>
  </si>
  <si>
    <t>518/91</t>
  </si>
  <si>
    <t>519/91</t>
  </si>
  <si>
    <t>520/92</t>
  </si>
  <si>
    <t>521/92</t>
  </si>
  <si>
    <t>522/92</t>
  </si>
  <si>
    <t>523/92</t>
  </si>
  <si>
    <t>524/92</t>
  </si>
  <si>
    <t>525/92</t>
  </si>
  <si>
    <t>526/93</t>
  </si>
  <si>
    <t>527/93</t>
  </si>
  <si>
    <t>528/93</t>
  </si>
  <si>
    <t>529/93</t>
  </si>
  <si>
    <t>530/93</t>
  </si>
  <si>
    <t>531/93</t>
  </si>
  <si>
    <t>532/93</t>
  </si>
  <si>
    <t>533/94</t>
  </si>
  <si>
    <t>534/94</t>
  </si>
  <si>
    <t>535/94</t>
  </si>
  <si>
    <t>536/94</t>
  </si>
  <si>
    <t>537/95</t>
  </si>
  <si>
    <t>538/95</t>
  </si>
  <si>
    <t>539/96</t>
  </si>
  <si>
    <t>540/97</t>
  </si>
  <si>
    <t>542/97</t>
  </si>
  <si>
    <t>543/97</t>
  </si>
  <si>
    <t>544/97</t>
  </si>
  <si>
    <t>546/97</t>
  </si>
  <si>
    <t>547/97</t>
  </si>
  <si>
    <t>548/97</t>
  </si>
  <si>
    <t>549/97</t>
  </si>
  <si>
    <t>550/97</t>
  </si>
  <si>
    <t>552/98</t>
  </si>
  <si>
    <t>551/98</t>
  </si>
  <si>
    <t>553/98</t>
  </si>
  <si>
    <t>554/98</t>
  </si>
  <si>
    <t>556/98</t>
  </si>
  <si>
    <t>557/98</t>
  </si>
  <si>
    <t>559/98</t>
  </si>
  <si>
    <t>560/98</t>
  </si>
  <si>
    <t>561/99</t>
  </si>
  <si>
    <t>562/99</t>
  </si>
  <si>
    <t>513/90</t>
  </si>
  <si>
    <t>545/97</t>
  </si>
  <si>
    <t>563/100</t>
  </si>
  <si>
    <t>567/101</t>
  </si>
  <si>
    <t>568/102</t>
  </si>
  <si>
    <t>577-578/104</t>
  </si>
  <si>
    <t>614-615/111</t>
  </si>
  <si>
    <t>555/98</t>
  </si>
  <si>
    <t>569-574/103</t>
  </si>
  <si>
    <t>565/101</t>
  </si>
  <si>
    <t>579-585/104</t>
  </si>
  <si>
    <t>652/120</t>
  </si>
  <si>
    <t>658/121</t>
  </si>
  <si>
    <t>664/122</t>
  </si>
  <si>
    <t>651/120</t>
  </si>
  <si>
    <t>657/121</t>
  </si>
  <si>
    <t>663/122</t>
  </si>
  <si>
    <t>564/101</t>
  </si>
  <si>
    <t>566/101</t>
  </si>
  <si>
    <t>576/103</t>
  </si>
  <si>
    <t>586-591/105</t>
  </si>
  <si>
    <t>592-593/106</t>
  </si>
  <si>
    <t>594-599/107</t>
  </si>
  <si>
    <t>653/120</t>
  </si>
  <si>
    <t>659/121</t>
  </si>
  <si>
    <t>665/122</t>
  </si>
  <si>
    <t>575/103</t>
  </si>
  <si>
    <t>600-606/108</t>
  </si>
  <si>
    <t>654/120</t>
  </si>
  <si>
    <t>660/121</t>
  </si>
  <si>
    <t>666/122</t>
  </si>
  <si>
    <t>607-610/109</t>
  </si>
  <si>
    <t>616-621/112</t>
  </si>
  <si>
    <t>622-627/113</t>
  </si>
  <si>
    <t>628-633/114</t>
  </si>
  <si>
    <t>634-637/115</t>
  </si>
  <si>
    <t>638-641/116</t>
  </si>
  <si>
    <t>642-645/117</t>
  </si>
  <si>
    <t>646-649/118</t>
  </si>
  <si>
    <t>655/120</t>
  </si>
  <si>
    <t>611-613/110</t>
  </si>
  <si>
    <t>656/120</t>
  </si>
  <si>
    <t>661/121</t>
  </si>
  <si>
    <t>667/122</t>
  </si>
  <si>
    <t>662/121</t>
  </si>
  <si>
    <t>668/122</t>
  </si>
  <si>
    <t>650/119</t>
  </si>
  <si>
    <t>505/89</t>
  </si>
  <si>
    <t>506/89</t>
  </si>
  <si>
    <t>507/89</t>
  </si>
  <si>
    <t>508/89</t>
  </si>
  <si>
    <t>509/89</t>
  </si>
  <si>
    <t>669-674/123</t>
  </si>
  <si>
    <t>677-681/124</t>
  </si>
  <si>
    <t>683-688/125</t>
  </si>
  <si>
    <t>689-694/126</t>
  </si>
  <si>
    <t>695-701/127</t>
  </si>
  <si>
    <t>708/129</t>
  </si>
  <si>
    <t>709-710/130</t>
  </si>
  <si>
    <t>702-705/128</t>
  </si>
  <si>
    <t>711/131</t>
  </si>
  <si>
    <t>719/132</t>
  </si>
  <si>
    <t>727/133</t>
  </si>
  <si>
    <t>743/137</t>
  </si>
  <si>
    <t>748/138</t>
  </si>
  <si>
    <t>712/131</t>
  </si>
  <si>
    <t>720/132</t>
  </si>
  <si>
    <t>728/133</t>
  </si>
  <si>
    <t>744/137</t>
  </si>
  <si>
    <t>745/137</t>
  </si>
  <si>
    <t>749/139</t>
  </si>
  <si>
    <t>750/140</t>
  </si>
  <si>
    <t>737/135</t>
  </si>
  <si>
    <t>SEPTMP</t>
  </si>
  <si>
    <t>738-742/136</t>
  </si>
  <si>
    <t>715/131</t>
  </si>
  <si>
    <t>723/132</t>
  </si>
  <si>
    <t>731/133</t>
  </si>
  <si>
    <t>718/131</t>
  </si>
  <si>
    <t>726/132</t>
  </si>
  <si>
    <t>734/133</t>
  </si>
  <si>
    <t>735-736/134</t>
  </si>
  <si>
    <t>746/137</t>
  </si>
  <si>
    <t>747/137</t>
  </si>
  <si>
    <t>675/124</t>
  </si>
  <si>
    <t>676/124</t>
  </si>
  <si>
    <t>713/131</t>
  </si>
  <si>
    <t>714/134</t>
  </si>
  <si>
    <t>721/132</t>
  </si>
  <si>
    <t>722/132</t>
  </si>
  <si>
    <t>729/133</t>
  </si>
  <si>
    <t>730/133</t>
  </si>
  <si>
    <t>706/129</t>
  </si>
  <si>
    <t>707/129</t>
  </si>
  <si>
    <t>716/131</t>
  </si>
  <si>
    <t>717/131</t>
  </si>
  <si>
    <t>724/132</t>
  </si>
  <si>
    <t>725/132</t>
  </si>
  <si>
    <t>732/133</t>
  </si>
  <si>
    <t>733/133</t>
  </si>
  <si>
    <t>751-756/141</t>
  </si>
  <si>
    <t>757/141</t>
  </si>
  <si>
    <t>758-761/142</t>
  </si>
  <si>
    <t>762-764/142</t>
  </si>
  <si>
    <t>765-767/142</t>
  </si>
  <si>
    <t>768-771/143</t>
  </si>
  <si>
    <t>772-778/143</t>
  </si>
  <si>
    <t>779-788/144</t>
  </si>
  <si>
    <t>789-796/145</t>
  </si>
  <si>
    <t>797-800/146</t>
  </si>
  <si>
    <t>801-803/147</t>
  </si>
  <si>
    <t>804/148</t>
  </si>
  <si>
    <t>805/148</t>
  </si>
  <si>
    <t>806/148</t>
  </si>
  <si>
    <t>807/148</t>
  </si>
  <si>
    <t>808/148</t>
  </si>
  <si>
    <t>809/148</t>
  </si>
  <si>
    <t>810/148</t>
  </si>
  <si>
    <t>811/149</t>
  </si>
  <si>
    <t>812/149</t>
  </si>
  <si>
    <t>813/149</t>
  </si>
  <si>
    <t>814/149</t>
  </si>
  <si>
    <t>815/149</t>
  </si>
  <si>
    <t>816/149</t>
  </si>
  <si>
    <t>817/149</t>
  </si>
  <si>
    <t>818-820/150</t>
  </si>
  <si>
    <t>821-823/150</t>
  </si>
  <si>
    <t>824/150</t>
  </si>
  <si>
    <t>825/151</t>
  </si>
  <si>
    <t>826/151</t>
  </si>
  <si>
    <t>827/152</t>
  </si>
  <si>
    <t>828/153</t>
  </si>
  <si>
    <t>829/154</t>
  </si>
  <si>
    <t>830/154</t>
  </si>
  <si>
    <t>831/155</t>
  </si>
  <si>
    <t>832/155</t>
  </si>
  <si>
    <t>833/156</t>
  </si>
  <si>
    <t>834/157</t>
  </si>
  <si>
    <t>835/157</t>
  </si>
  <si>
    <t>836/157</t>
  </si>
  <si>
    <t>837/157</t>
  </si>
  <si>
    <t>838/157</t>
  </si>
  <si>
    <t>839/157</t>
  </si>
  <si>
    <t>840/157</t>
  </si>
  <si>
    <t>841-846/158</t>
  </si>
  <si>
    <t>847-852/159</t>
  </si>
  <si>
    <t>853-858/160</t>
  </si>
  <si>
    <t>859-862/161</t>
  </si>
  <si>
    <t>863-866/162</t>
  </si>
  <si>
    <t>867-870/163</t>
  </si>
  <si>
    <t>SEPEMBRE</t>
  </si>
  <si>
    <t>877/165</t>
  </si>
  <si>
    <t>878/165</t>
  </si>
  <si>
    <t>879/165</t>
  </si>
  <si>
    <t>871/164</t>
  </si>
  <si>
    <t>872/164</t>
  </si>
  <si>
    <t>873/164</t>
  </si>
  <si>
    <t>883/167</t>
  </si>
  <si>
    <t>885/167</t>
  </si>
  <si>
    <t>888/167</t>
  </si>
  <si>
    <t>891/168</t>
  </si>
  <si>
    <t>889/167</t>
  </si>
  <si>
    <t>890/167</t>
  </si>
  <si>
    <t>893/168</t>
  </si>
  <si>
    <t>894/168</t>
  </si>
  <si>
    <t>874/164</t>
  </si>
  <si>
    <t>875/164</t>
  </si>
  <si>
    <t>876/164</t>
  </si>
  <si>
    <t>880/166</t>
  </si>
  <si>
    <t>881/166</t>
  </si>
  <si>
    <t>884/167</t>
  </si>
  <si>
    <t>886/167</t>
  </si>
  <si>
    <t>887/167</t>
  </si>
  <si>
    <t>892/167</t>
  </si>
  <si>
    <t>896-901/170</t>
  </si>
  <si>
    <t>902/170</t>
  </si>
  <si>
    <t>903/171</t>
  </si>
  <si>
    <t>904/171</t>
  </si>
  <si>
    <t>905/171</t>
  </si>
  <si>
    <t>906/171</t>
  </si>
  <si>
    <t>907/171</t>
  </si>
  <si>
    <t>908/171</t>
  </si>
  <si>
    <t>909/171</t>
  </si>
  <si>
    <t>910/171</t>
  </si>
  <si>
    <t>911/171</t>
  </si>
  <si>
    <t>912/171</t>
  </si>
  <si>
    <t>913-916/172</t>
  </si>
  <si>
    <t>917-923/172</t>
  </si>
  <si>
    <t>924-933/173</t>
  </si>
  <si>
    <t>934-937/174</t>
  </si>
  <si>
    <t>938-945/175</t>
  </si>
  <si>
    <t>967/179</t>
  </si>
  <si>
    <t>960/179</t>
  </si>
  <si>
    <t>953/178</t>
  </si>
  <si>
    <t>954/177</t>
  </si>
  <si>
    <t>961/178</t>
  </si>
  <si>
    <t>968/179</t>
  </si>
  <si>
    <t>946-948/176</t>
  </si>
  <si>
    <t>955/177</t>
  </si>
  <si>
    <t>962/178</t>
  </si>
  <si>
    <t>969/179</t>
  </si>
  <si>
    <t>951/177</t>
  </si>
  <si>
    <t>958/178</t>
  </si>
  <si>
    <t>965/179</t>
  </si>
  <si>
    <t>950/177</t>
  </si>
  <si>
    <t>957/178</t>
  </si>
  <si>
    <t>964/179</t>
  </si>
  <si>
    <t>949/177</t>
  </si>
  <si>
    <t>956/178</t>
  </si>
  <si>
    <t>963/179</t>
  </si>
  <si>
    <t>895/169</t>
  </si>
  <si>
    <t>952/177</t>
  </si>
  <si>
    <t>959/178</t>
  </si>
  <si>
    <t>966/179</t>
  </si>
  <si>
    <t>970/180</t>
  </si>
  <si>
    <t>971/181</t>
  </si>
  <si>
    <t>882/166</t>
  </si>
  <si>
    <t>972/182</t>
  </si>
  <si>
    <t>973/182</t>
  </si>
  <si>
    <t>974/182</t>
  </si>
  <si>
    <t>975/182</t>
  </si>
  <si>
    <t>976/183</t>
  </si>
  <si>
    <t>977/184</t>
  </si>
  <si>
    <t>978/184</t>
  </si>
  <si>
    <t>979/184</t>
  </si>
  <si>
    <t>980/184</t>
  </si>
  <si>
    <t>981/185</t>
  </si>
  <si>
    <t>985/188</t>
  </si>
  <si>
    <t>ANNULE</t>
  </si>
  <si>
    <t>986/189</t>
  </si>
  <si>
    <t>987/189</t>
  </si>
  <si>
    <t>988/189</t>
  </si>
  <si>
    <t>989/189</t>
  </si>
  <si>
    <t>990/189</t>
  </si>
  <si>
    <t>991/189</t>
  </si>
  <si>
    <t>993-996/190</t>
  </si>
  <si>
    <t>992/189</t>
  </si>
  <si>
    <t>997-999/190</t>
  </si>
  <si>
    <t>1000-1002/190</t>
  </si>
  <si>
    <t>1003-1006/190</t>
  </si>
  <si>
    <t>1007-1013/191</t>
  </si>
  <si>
    <t>1014-1023/192</t>
  </si>
  <si>
    <t>1024-1031/193</t>
  </si>
  <si>
    <t>1032-1035/194</t>
  </si>
  <si>
    <t>1036-1038/195</t>
  </si>
  <si>
    <t>1039/196</t>
  </si>
  <si>
    <t>1040/196</t>
  </si>
  <si>
    <t>1041/196</t>
  </si>
  <si>
    <t>1042/196</t>
  </si>
  <si>
    <t>1044/196</t>
  </si>
  <si>
    <t>1043/196</t>
  </si>
  <si>
    <t>1045/196</t>
  </si>
  <si>
    <t>1046/197</t>
  </si>
  <si>
    <t>1053/198</t>
  </si>
  <si>
    <t>1047/197</t>
  </si>
  <si>
    <t>1054/198</t>
  </si>
  <si>
    <t>1048/197</t>
  </si>
  <si>
    <t>1055/198</t>
  </si>
  <si>
    <t>1049/197</t>
  </si>
  <si>
    <t>1056/198</t>
  </si>
  <si>
    <t>1050/197</t>
  </si>
  <si>
    <t>1057/198</t>
  </si>
  <si>
    <t>1051/197</t>
  </si>
  <si>
    <t>1058/198</t>
  </si>
  <si>
    <t>1052/197</t>
  </si>
  <si>
    <t>1059/198</t>
  </si>
  <si>
    <t>1066/199</t>
  </si>
  <si>
    <t>1090-1065/199</t>
  </si>
  <si>
    <t>1067/200</t>
  </si>
  <si>
    <t>1068/200</t>
  </si>
  <si>
    <t>1069/200</t>
  </si>
  <si>
    <t>1070/200</t>
  </si>
  <si>
    <t>1071/200</t>
  </si>
  <si>
    <t>1072/200</t>
  </si>
  <si>
    <t>1073/200</t>
  </si>
  <si>
    <t>1074/200</t>
  </si>
  <si>
    <t>1075/200</t>
  </si>
  <si>
    <t>1076/200</t>
  </si>
  <si>
    <t>1082/201</t>
  </si>
  <si>
    <t>1081/201</t>
  </si>
  <si>
    <t>1083/201</t>
  </si>
  <si>
    <t>1084/201</t>
  </si>
  <si>
    <t>1085/201</t>
  </si>
  <si>
    <t>1086/201</t>
  </si>
  <si>
    <t>1087/201</t>
  </si>
  <si>
    <t>1077/201</t>
  </si>
  <si>
    <t>1078/201</t>
  </si>
  <si>
    <t>1079/201</t>
  </si>
  <si>
    <t>1080/201</t>
  </si>
  <si>
    <t>1098-1105/203</t>
  </si>
  <si>
    <t>1088-1097/202</t>
  </si>
  <si>
    <t>1106-1109/204</t>
  </si>
  <si>
    <t>1110-1112/205</t>
  </si>
  <si>
    <t>1113/206</t>
  </si>
  <si>
    <t>1114/206</t>
  </si>
  <si>
    <t>1115/206</t>
  </si>
  <si>
    <t>1116/206</t>
  </si>
  <si>
    <t>1117/206</t>
  </si>
  <si>
    <t>1118/206</t>
  </si>
  <si>
    <t>1119/206</t>
  </si>
  <si>
    <t>1120/207</t>
  </si>
  <si>
    <t>1121/207</t>
  </si>
  <si>
    <t>1122/207</t>
  </si>
  <si>
    <t>1123/207</t>
  </si>
  <si>
    <t>1124/207</t>
  </si>
  <si>
    <t>1125/207</t>
  </si>
  <si>
    <t>1126/207</t>
  </si>
  <si>
    <t>1127/208</t>
  </si>
  <si>
    <t>1128/208</t>
  </si>
  <si>
    <t>1129/208</t>
  </si>
  <si>
    <t>1130/208</t>
  </si>
  <si>
    <t>1131/208</t>
  </si>
  <si>
    <t>1132/208</t>
  </si>
  <si>
    <t>1133/208</t>
  </si>
  <si>
    <t>1134/209</t>
  </si>
  <si>
    <t>1135/210</t>
  </si>
  <si>
    <t>1136/211</t>
  </si>
  <si>
    <t>1137/211</t>
  </si>
  <si>
    <t>1138/211</t>
  </si>
  <si>
    <t>1139/212</t>
  </si>
  <si>
    <t>1142/212</t>
  </si>
  <si>
    <t>1143/212</t>
  </si>
  <si>
    <t>1144/212</t>
  </si>
  <si>
    <t>1145/212</t>
  </si>
  <si>
    <t>1146/213</t>
  </si>
  <si>
    <t>1140/212</t>
  </si>
  <si>
    <t>1141/212</t>
  </si>
  <si>
    <t>1147-1148/213</t>
  </si>
  <si>
    <t>1149/213</t>
  </si>
  <si>
    <t>1150/213</t>
  </si>
  <si>
    <t>1151/213</t>
  </si>
  <si>
    <t>1152/213</t>
  </si>
  <si>
    <t>1153/213</t>
  </si>
  <si>
    <t>1154/214</t>
  </si>
  <si>
    <t>1155/214</t>
  </si>
  <si>
    <t>1156/214</t>
  </si>
  <si>
    <t>ANNULATION</t>
  </si>
  <si>
    <t>1159/216</t>
  </si>
  <si>
    <t>1160/216</t>
  </si>
  <si>
    <t>1161/216</t>
  </si>
  <si>
    <t>1162/216</t>
  </si>
  <si>
    <t>1163/216</t>
  </si>
  <si>
    <t>1164/217</t>
  </si>
  <si>
    <t>1165-1170/218</t>
  </si>
  <si>
    <t>1171-1176/219</t>
  </si>
  <si>
    <t>1177-1182/220</t>
  </si>
  <si>
    <t>1183-118/221</t>
  </si>
  <si>
    <t>1189-1194/222</t>
  </si>
  <si>
    <t>1195-1199/223</t>
  </si>
  <si>
    <t>1200/224</t>
  </si>
  <si>
    <t>1201/225</t>
  </si>
  <si>
    <t>1202/226</t>
  </si>
  <si>
    <t>DECEMBRE</t>
  </si>
  <si>
    <t xml:space="preserve"> </t>
  </si>
  <si>
    <t>1205-1208/228</t>
  </si>
  <si>
    <t>1209/229</t>
  </si>
  <si>
    <t>1211/231</t>
  </si>
  <si>
    <t>1212/232</t>
  </si>
  <si>
    <t>1213/233</t>
  </si>
  <si>
    <t>1214/234</t>
  </si>
  <si>
    <t>1216/235</t>
  </si>
  <si>
    <t>1217/235</t>
  </si>
  <si>
    <t>1218/236</t>
  </si>
  <si>
    <t>1219/236</t>
  </si>
  <si>
    <t>1220/237</t>
  </si>
  <si>
    <t>1221/237</t>
  </si>
  <si>
    <t>1226/238</t>
  </si>
  <si>
    <t>1204/227</t>
  </si>
  <si>
    <t>1203/227</t>
  </si>
  <si>
    <t>1205/228</t>
  </si>
  <si>
    <t>1223/239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</si>
</sst>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#,##0;[Red]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6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3">
    <xf numFmtId="0" fontId="0" fillId="0" borderId="0" xfId="0"/>
    <xf numFmtId="0" fontId="0" fillId="0" borderId="4" xfId="0" applyBorder="1"/>
    <xf numFmtId="0" fontId="2" fillId="0" borderId="5" xfId="0" applyFont="1" applyBorder="1"/>
    <xf numFmtId="164" fontId="2" fillId="0" borderId="6" xfId="1" applyNumberFormat="1" applyFont="1" applyBorder="1"/>
    <xf numFmtId="0" fontId="0" fillId="0" borderId="10" xfId="0" applyBorder="1"/>
    <xf numFmtId="0" fontId="0" fillId="0" borderId="11" xfId="0" applyBorder="1"/>
    <xf numFmtId="164" fontId="3" fillId="0" borderId="1" xfId="1" applyNumberFormat="1" applyFont="1" applyBorder="1"/>
    <xf numFmtId="0" fontId="2" fillId="0" borderId="16" xfId="0" applyFont="1" applyBorder="1"/>
    <xf numFmtId="164" fontId="1" fillId="0" borderId="1" xfId="1" applyNumberFormat="1" applyFont="1" applyBorder="1"/>
    <xf numFmtId="164" fontId="1" fillId="0" borderId="3" xfId="1" applyNumberFormat="1" applyFont="1" applyBorder="1"/>
    <xf numFmtId="164" fontId="1" fillId="0" borderId="6" xfId="1" applyNumberFormat="1" applyFont="1" applyBorder="1"/>
    <xf numFmtId="164" fontId="1" fillId="0" borderId="7" xfId="1" applyNumberFormat="1" applyFont="1" applyBorder="1"/>
    <xf numFmtId="164" fontId="2" fillId="0" borderId="18" xfId="1" applyNumberFormat="1" applyFont="1" applyBorder="1"/>
    <xf numFmtId="0" fontId="2" fillId="0" borderId="0" xfId="0" applyFont="1"/>
    <xf numFmtId="164" fontId="2" fillId="0" borderId="21" xfId="1" applyNumberFormat="1" applyFont="1" applyBorder="1"/>
    <xf numFmtId="164" fontId="2" fillId="0" borderId="19" xfId="1" applyNumberFormat="1" applyFont="1" applyBorder="1"/>
    <xf numFmtId="164" fontId="2" fillId="0" borderId="1" xfId="1" applyNumberFormat="1" applyFont="1" applyBorder="1"/>
    <xf numFmtId="0" fontId="2" fillId="0" borderId="4" xfId="0" applyFont="1" applyBorder="1"/>
    <xf numFmtId="0" fontId="0" fillId="0" borderId="4" xfId="0" applyFont="1" applyBorder="1"/>
    <xf numFmtId="164" fontId="7" fillId="0" borderId="1" xfId="1" applyNumberFormat="1" applyFont="1" applyBorder="1"/>
    <xf numFmtId="164" fontId="3" fillId="0" borderId="2" xfId="1" applyNumberFormat="1" applyFont="1" applyBorder="1"/>
    <xf numFmtId="164" fontId="7" fillId="0" borderId="2" xfId="1" applyNumberFormat="1" applyFont="1" applyBorder="1"/>
    <xf numFmtId="164" fontId="7" fillId="0" borderId="2" xfId="1" applyNumberFormat="1" applyFont="1" applyBorder="1" applyAlignment="1">
      <alignment horizontal="center"/>
    </xf>
    <xf numFmtId="164" fontId="7" fillId="0" borderId="15" xfId="1" applyNumberFormat="1" applyFont="1" applyBorder="1"/>
    <xf numFmtId="164" fontId="3" fillId="0" borderId="8" xfId="1" applyNumberFormat="1" applyFont="1" applyBorder="1"/>
    <xf numFmtId="164" fontId="4" fillId="0" borderId="2" xfId="1" applyNumberFormat="1" applyFont="1" applyBorder="1"/>
    <xf numFmtId="164" fontId="7" fillId="0" borderId="8" xfId="1" applyNumberFormat="1" applyFont="1" applyBorder="1"/>
    <xf numFmtId="164" fontId="8" fillId="0" borderId="2" xfId="1" applyNumberFormat="1" applyFont="1" applyBorder="1"/>
    <xf numFmtId="164" fontId="7" fillId="0" borderId="8" xfId="1" applyNumberFormat="1" applyFont="1" applyBorder="1" applyAlignment="1">
      <alignment horizontal="center"/>
    </xf>
    <xf numFmtId="164" fontId="7" fillId="0" borderId="13" xfId="1" applyNumberFormat="1" applyFont="1" applyBorder="1"/>
    <xf numFmtId="0" fontId="5" fillId="0" borderId="12" xfId="0" applyFont="1" applyBorder="1" applyAlignment="1">
      <alignment horizontal="center" wrapText="1"/>
    </xf>
    <xf numFmtId="0" fontId="5" fillId="0" borderId="14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vertical="center"/>
    </xf>
    <xf numFmtId="164" fontId="2" fillId="0" borderId="17" xfId="1" applyNumberFormat="1" applyFont="1" applyBorder="1"/>
    <xf numFmtId="0" fontId="2" fillId="0" borderId="22" xfId="0" applyFont="1" applyBorder="1" applyAlignment="1">
      <alignment horizontal="center" vertical="center"/>
    </xf>
    <xf numFmtId="164" fontId="2" fillId="0" borderId="23" xfId="1" applyNumberFormat="1" applyFont="1" applyBorder="1"/>
    <xf numFmtId="164" fontId="2" fillId="0" borderId="24" xfId="1" applyNumberFormat="1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0" fillId="0" borderId="20" xfId="0" applyBorder="1"/>
    <xf numFmtId="0" fontId="9" fillId="0" borderId="20" xfId="0" applyFont="1" applyBorder="1"/>
    <xf numFmtId="0" fontId="2" fillId="0" borderId="20" xfId="0" applyFont="1" applyBorder="1" applyAlignment="1">
      <alignment horizontal="center" wrapText="1"/>
    </xf>
    <xf numFmtId="0" fontId="10" fillId="0" borderId="20" xfId="0" applyFont="1" applyBorder="1"/>
    <xf numFmtId="0" fontId="10" fillId="0" borderId="20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wrapText="1"/>
    </xf>
    <xf numFmtId="0" fontId="0" fillId="0" borderId="27" xfId="0" applyBorder="1"/>
    <xf numFmtId="0" fontId="11" fillId="0" borderId="20" xfId="0" applyFont="1" applyBorder="1"/>
    <xf numFmtId="0" fontId="0" fillId="0" borderId="17" xfId="0" applyBorder="1"/>
    <xf numFmtId="0" fontId="10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vertical="center"/>
    </xf>
    <xf numFmtId="0" fontId="9" fillId="0" borderId="17" xfId="0" applyFont="1" applyBorder="1"/>
    <xf numFmtId="0" fontId="2" fillId="0" borderId="17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64" fontId="1" fillId="0" borderId="17" xfId="1" applyNumberFormat="1" applyFont="1" applyBorder="1"/>
    <xf numFmtId="164" fontId="1" fillId="0" borderId="18" xfId="1" applyNumberFormat="1" applyFont="1" applyBorder="1"/>
    <xf numFmtId="164" fontId="1" fillId="0" borderId="28" xfId="1" applyNumberFormat="1" applyFont="1" applyBorder="1"/>
    <xf numFmtId="3" fontId="1" fillId="0" borderId="1" xfId="1" applyNumberFormat="1" applyFont="1" applyBorder="1"/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0" borderId="2" xfId="1" applyNumberFormat="1" applyFont="1" applyBorder="1"/>
    <xf numFmtId="164" fontId="1" fillId="0" borderId="15" xfId="1" applyNumberFormat="1" applyFont="1" applyBorder="1"/>
    <xf numFmtId="0" fontId="2" fillId="0" borderId="16" xfId="0" applyFont="1" applyBorder="1" applyAlignment="1">
      <alignment horizontal="center"/>
    </xf>
    <xf numFmtId="164" fontId="1" fillId="0" borderId="30" xfId="1" applyNumberFormat="1" applyFont="1" applyBorder="1"/>
    <xf numFmtId="164" fontId="1" fillId="0" borderId="28" xfId="1" applyNumberFormat="1" applyFont="1" applyBorder="1" applyAlignment="1"/>
    <xf numFmtId="0" fontId="0" fillId="0" borderId="14" xfId="0" applyFont="1" applyBorder="1" applyAlignment="1">
      <alignment horizontal="center"/>
    </xf>
    <xf numFmtId="164" fontId="2" fillId="0" borderId="2" xfId="1" applyNumberFormat="1" applyFont="1" applyBorder="1"/>
    <xf numFmtId="3" fontId="1" fillId="0" borderId="2" xfId="1" applyNumberFormat="1" applyFont="1" applyBorder="1"/>
    <xf numFmtId="164" fontId="0" fillId="0" borderId="0" xfId="0" applyNumberFormat="1"/>
    <xf numFmtId="0" fontId="0" fillId="0" borderId="5" xfId="0" applyFont="1" applyBorder="1" applyAlignment="1">
      <alignment horizontal="center"/>
    </xf>
    <xf numFmtId="164" fontId="2" fillId="0" borderId="3" xfId="1" applyNumberFormat="1" applyFont="1" applyBorder="1"/>
    <xf numFmtId="0" fontId="6" fillId="0" borderId="2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164" fontId="2" fillId="0" borderId="28" xfId="1" applyNumberFormat="1" applyFont="1" applyBorder="1"/>
    <xf numFmtId="164" fontId="1" fillId="0" borderId="8" xfId="1" applyNumberFormat="1" applyFont="1" applyBorder="1"/>
    <xf numFmtId="0" fontId="2" fillId="0" borderId="31" xfId="0" applyFont="1" applyBorder="1" applyAlignment="1">
      <alignment horizontal="center"/>
    </xf>
    <xf numFmtId="164" fontId="2" fillId="0" borderId="32" xfId="1" applyNumberFormat="1" applyFont="1" applyBorder="1"/>
    <xf numFmtId="164" fontId="1" fillId="0" borderId="32" xfId="1" applyNumberFormat="1" applyFont="1" applyBorder="1"/>
    <xf numFmtId="164" fontId="2" fillId="0" borderId="33" xfId="1" applyNumberFormat="1" applyFont="1" applyBorder="1"/>
    <xf numFmtId="164" fontId="2" fillId="0" borderId="20" xfId="1" applyNumberFormat="1" applyFont="1" applyBorder="1"/>
    <xf numFmtId="3" fontId="2" fillId="0" borderId="32" xfId="1" applyNumberFormat="1" applyFont="1" applyBorder="1"/>
    <xf numFmtId="49" fontId="0" fillId="0" borderId="4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14" xfId="0" applyNumberFormat="1" applyFont="1" applyBorder="1" applyAlignment="1">
      <alignment horizontal="center"/>
    </xf>
    <xf numFmtId="49" fontId="0" fillId="0" borderId="29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0" fillId="0" borderId="4" xfId="0" applyNumberFormat="1" applyFont="1" applyBorder="1"/>
    <xf numFmtId="49" fontId="0" fillId="0" borderId="4" xfId="0" applyNumberFormat="1" applyBorder="1"/>
    <xf numFmtId="49" fontId="2" fillId="0" borderId="5" xfId="0" applyNumberFormat="1" applyFont="1" applyBorder="1"/>
    <xf numFmtId="49" fontId="0" fillId="0" borderId="5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" xfId="0" applyBorder="1"/>
    <xf numFmtId="49" fontId="0" fillId="0" borderId="31" xfId="0" applyNumberFormat="1" applyFont="1" applyBorder="1" applyAlignment="1">
      <alignment horizontal="center"/>
    </xf>
    <xf numFmtId="164" fontId="1" fillId="0" borderId="33" xfId="1" applyNumberFormat="1" applyFont="1" applyBorder="1"/>
    <xf numFmtId="164" fontId="14" fillId="0" borderId="8" xfId="1" applyNumberFormat="1" applyFont="1" applyBorder="1"/>
    <xf numFmtId="164" fontId="15" fillId="0" borderId="8" xfId="1" applyNumberFormat="1" applyFont="1" applyBorder="1"/>
    <xf numFmtId="164" fontId="15" fillId="0" borderId="8" xfId="1" applyNumberFormat="1" applyFont="1" applyBorder="1" applyAlignment="1">
      <alignment horizontal="center"/>
    </xf>
    <xf numFmtId="164" fontId="15" fillId="0" borderId="13" xfId="1" applyNumberFormat="1" applyFont="1" applyBorder="1"/>
    <xf numFmtId="164" fontId="16" fillId="0" borderId="2" xfId="1" applyNumberFormat="1" applyFont="1" applyBorder="1"/>
    <xf numFmtId="164" fontId="17" fillId="0" borderId="2" xfId="1" applyNumberFormat="1" applyFont="1" applyBorder="1"/>
    <xf numFmtId="164" fontId="15" fillId="0" borderId="15" xfId="1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164" fontId="1" fillId="0" borderId="20" xfId="1" applyNumberFormat="1" applyFont="1" applyBorder="1"/>
    <xf numFmtId="164" fontId="15" fillId="0" borderId="2" xfId="1" applyNumberFormat="1" applyFont="1" applyBorder="1"/>
    <xf numFmtId="164" fontId="15" fillId="0" borderId="2" xfId="1" applyNumberFormat="1" applyFont="1" applyBorder="1" applyAlignment="1">
      <alignment horizontal="center"/>
    </xf>
    <xf numFmtId="164" fontId="15" fillId="0" borderId="1" xfId="1" applyNumberFormat="1" applyFont="1" applyBorder="1"/>
    <xf numFmtId="49" fontId="2" fillId="0" borderId="31" xfId="0" applyNumberFormat="1" applyFont="1" applyBorder="1"/>
    <xf numFmtId="164" fontId="1" fillId="0" borderId="37" xfId="1" applyNumberFormat="1" applyFont="1" applyBorder="1"/>
    <xf numFmtId="164" fontId="1" fillId="0" borderId="19" xfId="1" applyNumberFormat="1" applyFont="1" applyBorder="1"/>
    <xf numFmtId="49" fontId="0" fillId="0" borderId="34" xfId="0" applyNumberFormat="1" applyFont="1" applyBorder="1" applyAlignment="1">
      <alignment horizontal="center"/>
    </xf>
    <xf numFmtId="0" fontId="2" fillId="0" borderId="17" xfId="0" applyFont="1" applyBorder="1"/>
    <xf numFmtId="164" fontId="2" fillId="0" borderId="17" xfId="0" applyNumberFormat="1" applyFont="1" applyBorder="1"/>
    <xf numFmtId="164" fontId="2" fillId="0" borderId="39" xfId="0" applyNumberFormat="1" applyFont="1" applyBorder="1"/>
    <xf numFmtId="164" fontId="2" fillId="0" borderId="35" xfId="1" applyNumberFormat="1" applyFont="1" applyBorder="1"/>
    <xf numFmtId="164" fontId="1" fillId="0" borderId="40" xfId="1" applyNumberFormat="1" applyFont="1" applyBorder="1"/>
    <xf numFmtId="49" fontId="2" fillId="0" borderId="12" xfId="0" applyNumberFormat="1" applyFont="1" applyBorder="1" applyAlignment="1">
      <alignment horizontal="center"/>
    </xf>
    <xf numFmtId="164" fontId="2" fillId="0" borderId="8" xfId="1" applyNumberFormat="1" applyFont="1" applyBorder="1"/>
    <xf numFmtId="164" fontId="1" fillId="0" borderId="41" xfId="1" applyNumberFormat="1" applyFont="1" applyBorder="1"/>
    <xf numFmtId="164" fontId="1" fillId="0" borderId="1" xfId="1" applyNumberFormat="1" applyFont="1" applyBorder="1" applyAlignment="1"/>
    <xf numFmtId="164" fontId="1" fillId="0" borderId="13" xfId="1" applyNumberFormat="1" applyFont="1" applyBorder="1"/>
    <xf numFmtId="164" fontId="2" fillId="0" borderId="13" xfId="1" applyNumberFormat="1" applyFont="1" applyBorder="1"/>
    <xf numFmtId="49" fontId="0" fillId="0" borderId="35" xfId="0" applyNumberFormat="1" applyBorder="1" applyAlignment="1">
      <alignment horizontal="center"/>
    </xf>
    <xf numFmtId="49" fontId="0" fillId="0" borderId="38" xfId="0" applyNumberFormat="1" applyFont="1" applyBorder="1" applyAlignment="1">
      <alignment horizontal="center"/>
    </xf>
    <xf numFmtId="164" fontId="18" fillId="0" borderId="8" xfId="1" applyNumberFormat="1" applyFont="1" applyBorder="1"/>
    <xf numFmtId="164" fontId="18" fillId="0" borderId="8" xfId="1" applyNumberFormat="1" applyFont="1" applyBorder="1" applyAlignment="1">
      <alignment horizontal="center"/>
    </xf>
    <xf numFmtId="164" fontId="18" fillId="0" borderId="13" xfId="1" applyNumberFormat="1" applyFont="1" applyBorder="1"/>
    <xf numFmtId="164" fontId="19" fillId="0" borderId="2" xfId="1" applyNumberFormat="1" applyFont="1" applyBorder="1"/>
    <xf numFmtId="164" fontId="18" fillId="0" borderId="15" xfId="1" applyNumberFormat="1" applyFont="1" applyBorder="1"/>
    <xf numFmtId="164" fontId="1" fillId="0" borderId="6" xfId="1" applyNumberFormat="1" applyFont="1" applyBorder="1" applyAlignment="1"/>
    <xf numFmtId="164" fontId="1" fillId="0" borderId="35" xfId="1" applyNumberFormat="1" applyFont="1" applyBorder="1"/>
    <xf numFmtId="0" fontId="0" fillId="0" borderId="5" xfId="0" applyBorder="1" applyAlignment="1">
      <alignment horizontal="center"/>
    </xf>
    <xf numFmtId="0" fontId="2" fillId="0" borderId="37" xfId="0" applyFont="1" applyBorder="1" applyAlignment="1">
      <alignment horizontal="center" vertical="center" wrapText="1"/>
    </xf>
    <xf numFmtId="49" fontId="0" fillId="0" borderId="31" xfId="0" applyNumberFormat="1" applyFont="1" applyBorder="1"/>
    <xf numFmtId="49" fontId="0" fillId="0" borderId="5" xfId="0" applyNumberFormat="1" applyBorder="1"/>
    <xf numFmtId="49" fontId="0" fillId="0" borderId="43" xfId="0" applyNumberFormat="1" applyBorder="1" applyAlignment="1">
      <alignment horizontal="center"/>
    </xf>
    <xf numFmtId="164" fontId="14" fillId="0" borderId="2" xfId="1" applyNumberFormat="1" applyFont="1" applyBorder="1"/>
    <xf numFmtId="164" fontId="14" fillId="0" borderId="1" xfId="1" applyNumberFormat="1" applyFont="1" applyBorder="1"/>
    <xf numFmtId="0" fontId="0" fillId="0" borderId="31" xfId="0" applyFont="1" applyBorder="1" applyAlignment="1">
      <alignment horizontal="center"/>
    </xf>
    <xf numFmtId="0" fontId="0" fillId="0" borderId="0" xfId="0" applyBorder="1"/>
    <xf numFmtId="0" fontId="0" fillId="0" borderId="45" xfId="0" applyBorder="1"/>
    <xf numFmtId="0" fontId="0" fillId="0" borderId="46" xfId="0" applyBorder="1"/>
    <xf numFmtId="164" fontId="2" fillId="0" borderId="37" xfId="1" applyNumberFormat="1" applyFont="1" applyBorder="1"/>
    <xf numFmtId="164" fontId="1" fillId="0" borderId="47" xfId="1" applyNumberFormat="1" applyFont="1" applyBorder="1"/>
    <xf numFmtId="0" fontId="2" fillId="0" borderId="31" xfId="0" applyFont="1" applyBorder="1"/>
    <xf numFmtId="0" fontId="0" fillId="0" borderId="34" xfId="0" applyFont="1" applyBorder="1"/>
    <xf numFmtId="49" fontId="0" fillId="0" borderId="48" xfId="0" applyNumberFormat="1" applyBorder="1" applyAlignment="1">
      <alignment horizontal="center"/>
    </xf>
    <xf numFmtId="164" fontId="1" fillId="0" borderId="2" xfId="1" applyNumberFormat="1" applyFont="1" applyBorder="1" applyAlignment="1"/>
    <xf numFmtId="0" fontId="2" fillId="0" borderId="42" xfId="0" applyFont="1" applyBorder="1" applyAlignment="1">
      <alignment horizontal="center" vertical="center"/>
    </xf>
    <xf numFmtId="49" fontId="0" fillId="0" borderId="14" xfId="0" applyNumberFormat="1" applyFont="1" applyBorder="1"/>
    <xf numFmtId="164" fontId="1" fillId="0" borderId="21" xfId="1" applyNumberFormat="1" applyFont="1" applyBorder="1"/>
    <xf numFmtId="49" fontId="0" fillId="0" borderId="1" xfId="0" applyNumberFormat="1" applyFont="1" applyBorder="1" applyAlignment="1">
      <alignment horizontal="center"/>
    </xf>
    <xf numFmtId="0" fontId="0" fillId="0" borderId="35" xfId="0" applyBorder="1"/>
    <xf numFmtId="0" fontId="0" fillId="0" borderId="43" xfId="0" applyBorder="1"/>
    <xf numFmtId="49" fontId="0" fillId="0" borderId="36" xfId="0" applyNumberFormat="1" applyFont="1" applyBorder="1" applyAlignment="1">
      <alignment horizontal="center"/>
    </xf>
    <xf numFmtId="164" fontId="1" fillId="2" borderId="2" xfId="1" applyNumberFormat="1" applyFont="1" applyFill="1" applyBorder="1"/>
    <xf numFmtId="164" fontId="1" fillId="2" borderId="1" xfId="1" applyNumberFormat="1" applyFont="1" applyFill="1" applyBorder="1"/>
    <xf numFmtId="0" fontId="2" fillId="0" borderId="3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4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/>
    </xf>
    <xf numFmtId="49" fontId="9" fillId="0" borderId="48" xfId="0" applyNumberFormat="1" applyFont="1" applyBorder="1" applyAlignment="1">
      <alignment horizontal="center"/>
    </xf>
    <xf numFmtId="164" fontId="9" fillId="0" borderId="2" xfId="1" applyNumberFormat="1" applyFont="1" applyBorder="1"/>
    <xf numFmtId="164" fontId="9" fillId="0" borderId="1" xfId="1" applyNumberFormat="1" applyFont="1" applyBorder="1"/>
    <xf numFmtId="164" fontId="9" fillId="0" borderId="32" xfId="1" applyNumberFormat="1" applyFont="1" applyBorder="1"/>
    <xf numFmtId="0" fontId="1" fillId="0" borderId="1" xfId="1" applyNumberFormat="1" applyFont="1" applyBorder="1"/>
    <xf numFmtId="0" fontId="1" fillId="0" borderId="2" xfId="1" applyNumberFormat="1" applyFont="1" applyBorder="1"/>
    <xf numFmtId="0" fontId="2" fillId="0" borderId="1" xfId="1" applyNumberFormat="1" applyFont="1" applyBorder="1"/>
    <xf numFmtId="0" fontId="2" fillId="0" borderId="32" xfId="1" applyNumberFormat="1" applyFont="1" applyBorder="1"/>
    <xf numFmtId="0" fontId="1" fillId="0" borderId="6" xfId="1" applyNumberFormat="1" applyFont="1" applyBorder="1"/>
    <xf numFmtId="0" fontId="9" fillId="0" borderId="4" xfId="0" applyFont="1" applyBorder="1" applyAlignment="1">
      <alignment horizontal="center"/>
    </xf>
    <xf numFmtId="0" fontId="9" fillId="0" borderId="1" xfId="1" applyNumberFormat="1" applyFont="1" applyBorder="1"/>
    <xf numFmtId="164" fontId="13" fillId="0" borderId="1" xfId="1" applyNumberFormat="1" applyFont="1" applyBorder="1"/>
    <xf numFmtId="3" fontId="1" fillId="0" borderId="6" xfId="1" applyNumberFormat="1" applyFont="1" applyBorder="1"/>
    <xf numFmtId="3" fontId="9" fillId="0" borderId="1" xfId="1" applyNumberFormat="1" applyFont="1" applyBorder="1"/>
    <xf numFmtId="49" fontId="2" fillId="0" borderId="34" xfId="0" applyNumberFormat="1" applyFont="1" applyBorder="1"/>
    <xf numFmtId="0" fontId="0" fillId="0" borderId="43" xfId="0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164" fontId="9" fillId="0" borderId="6" xfId="1" applyNumberFormat="1" applyFont="1" applyBorder="1"/>
    <xf numFmtId="0" fontId="9" fillId="0" borderId="31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164" fontId="13" fillId="0" borderId="6" xfId="1" applyNumberFormat="1" applyFont="1" applyBorder="1"/>
    <xf numFmtId="0" fontId="0" fillId="0" borderId="1" xfId="0" applyFont="1" applyBorder="1" applyAlignment="1">
      <alignment horizontal="center"/>
    </xf>
    <xf numFmtId="164" fontId="1" fillId="0" borderId="1" xfId="1" applyNumberFormat="1" applyFont="1" applyFill="1" applyBorder="1"/>
    <xf numFmtId="0" fontId="0" fillId="0" borderId="2" xfId="0" applyBorder="1"/>
    <xf numFmtId="164" fontId="20" fillId="0" borderId="1" xfId="1" applyNumberFormat="1" applyFont="1" applyBorder="1"/>
    <xf numFmtId="0" fontId="2" fillId="0" borderId="12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4" fontId="0" fillId="0" borderId="36" xfId="0" applyNumberFormat="1" applyFont="1" applyBorder="1" applyAlignment="1">
      <alignment horizontal="center"/>
    </xf>
    <xf numFmtId="0" fontId="5" fillId="0" borderId="38" xfId="0" applyFont="1" applyBorder="1" applyAlignment="1">
      <alignment horizontal="center" wrapText="1"/>
    </xf>
    <xf numFmtId="0" fontId="5" fillId="0" borderId="48" xfId="0" applyFont="1" applyFill="1" applyBorder="1" applyAlignment="1">
      <alignment horizontal="center" wrapText="1"/>
    </xf>
    <xf numFmtId="0" fontId="5" fillId="0" borderId="35" xfId="0" applyFont="1" applyFill="1" applyBorder="1" applyAlignment="1">
      <alignment horizontal="center"/>
    </xf>
    <xf numFmtId="0" fontId="6" fillId="0" borderId="48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center" wrapText="1"/>
    </xf>
    <xf numFmtId="0" fontId="20" fillId="0" borderId="5" xfId="0" applyFont="1" applyBorder="1" applyAlignment="1">
      <alignment horizontal="center"/>
    </xf>
    <xf numFmtId="164" fontId="20" fillId="0" borderId="6" xfId="1" applyNumberFormat="1" applyFont="1" applyBorder="1"/>
    <xf numFmtId="164" fontId="0" fillId="0" borderId="6" xfId="1" applyNumberFormat="1" applyFont="1" applyBorder="1"/>
    <xf numFmtId="164" fontId="0" fillId="0" borderId="32" xfId="1" applyNumberFormat="1" applyFont="1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0" fontId="9" fillId="0" borderId="38" xfId="0" applyFont="1" applyBorder="1" applyAlignment="1">
      <alignment horizontal="center"/>
    </xf>
    <xf numFmtId="164" fontId="13" fillId="0" borderId="8" xfId="1" applyNumberFormat="1" applyFont="1" applyBorder="1"/>
    <xf numFmtId="164" fontId="9" fillId="0" borderId="8" xfId="1" applyNumberFormat="1" applyFont="1" applyBorder="1"/>
    <xf numFmtId="0" fontId="9" fillId="0" borderId="5" xfId="0" applyFont="1" applyBorder="1" applyAlignment="1">
      <alignment horizontal="center"/>
    </xf>
    <xf numFmtId="164" fontId="21" fillId="0" borderId="1" xfId="1" applyNumberFormat="1" applyFont="1" applyBorder="1"/>
    <xf numFmtId="14" fontId="2" fillId="0" borderId="36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1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64" fontId="9" fillId="0" borderId="1" xfId="1" applyNumberFormat="1" applyFont="1" applyFill="1" applyBorder="1"/>
    <xf numFmtId="0" fontId="21" fillId="0" borderId="31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164" fontId="21" fillId="0" borderId="32" xfId="1" applyNumberFormat="1" applyFont="1" applyBorder="1"/>
    <xf numFmtId="164" fontId="21" fillId="0" borderId="33" xfId="1" applyNumberFormat="1" applyFont="1" applyBorder="1"/>
    <xf numFmtId="164" fontId="1" fillId="3" borderId="2" xfId="1" applyNumberFormat="1" applyFont="1" applyFill="1" applyBorder="1"/>
    <xf numFmtId="164" fontId="1" fillId="3" borderId="1" xfId="1" applyNumberFormat="1" applyFont="1" applyFill="1" applyBorder="1"/>
    <xf numFmtId="0" fontId="20" fillId="0" borderId="1" xfId="1" applyNumberFormat="1" applyFont="1" applyBorder="1"/>
    <xf numFmtId="164" fontId="20" fillId="3" borderId="1" xfId="1" applyNumberFormat="1" applyFont="1" applyFill="1" applyBorder="1"/>
    <xf numFmtId="164" fontId="9" fillId="3" borderId="1" xfId="1" applyNumberFormat="1" applyFont="1" applyFill="1" applyBorder="1"/>
    <xf numFmtId="0" fontId="9" fillId="0" borderId="6" xfId="1" applyNumberFormat="1" applyFont="1" applyBorder="1"/>
    <xf numFmtId="164" fontId="9" fillId="3" borderId="6" xfId="1" applyNumberFormat="1" applyFont="1" applyFill="1" applyBorder="1"/>
    <xf numFmtId="14" fontId="2" fillId="0" borderId="32" xfId="1" applyNumberFormat="1" applyFont="1" applyBorder="1"/>
    <xf numFmtId="164" fontId="2" fillId="3" borderId="32" xfId="1" applyNumberFormat="1" applyFont="1" applyFill="1" applyBorder="1"/>
    <xf numFmtId="164" fontId="1" fillId="3" borderId="6" xfId="1" applyNumberFormat="1" applyFont="1" applyFill="1" applyBorder="1"/>
    <xf numFmtId="0" fontId="1" fillId="0" borderId="32" xfId="1" applyNumberFormat="1" applyFont="1" applyBorder="1"/>
    <xf numFmtId="0" fontId="21" fillId="0" borderId="32" xfId="1" applyNumberFormat="1" applyFont="1" applyBorder="1"/>
    <xf numFmtId="164" fontId="21" fillId="3" borderId="32" xfId="1" applyNumberFormat="1" applyFont="1" applyFill="1" applyBorder="1"/>
    <xf numFmtId="164" fontId="21" fillId="0" borderId="17" xfId="1" applyNumberFormat="1" applyFont="1" applyBorder="1"/>
    <xf numFmtId="0" fontId="20" fillId="0" borderId="6" xfId="1" applyNumberFormat="1" applyFont="1" applyBorder="1"/>
    <xf numFmtId="164" fontId="21" fillId="0" borderId="6" xfId="1" applyNumberFormat="1" applyFont="1" applyBorder="1"/>
    <xf numFmtId="0" fontId="0" fillId="0" borderId="16" xfId="0" applyFont="1" applyBorder="1"/>
    <xf numFmtId="0" fontId="1" fillId="0" borderId="17" xfId="1" applyNumberFormat="1" applyFont="1" applyBorder="1"/>
    <xf numFmtId="0" fontId="2" fillId="0" borderId="6" xfId="1" applyNumberFormat="1" applyFont="1" applyBorder="1"/>
    <xf numFmtId="0" fontId="9" fillId="0" borderId="4" xfId="0" applyFont="1" applyBorder="1"/>
    <xf numFmtId="14" fontId="2" fillId="0" borderId="6" xfId="1" applyNumberFormat="1" applyFont="1" applyBorder="1"/>
    <xf numFmtId="0" fontId="2" fillId="0" borderId="42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164" fontId="20" fillId="0" borderId="32" xfId="1" applyNumberFormat="1" applyFont="1" applyBorder="1"/>
    <xf numFmtId="0" fontId="21" fillId="0" borderId="31" xfId="0" applyFont="1" applyBorder="1"/>
    <xf numFmtId="0" fontId="21" fillId="0" borderId="36" xfId="1" applyNumberFormat="1" applyFont="1" applyBorder="1"/>
    <xf numFmtId="0" fontId="9" fillId="0" borderId="34" xfId="0" applyFont="1" applyBorder="1"/>
    <xf numFmtId="0" fontId="9" fillId="0" borderId="20" xfId="1" applyNumberFormat="1" applyFont="1" applyBorder="1"/>
    <xf numFmtId="164" fontId="9" fillId="0" borderId="20" xfId="1" applyNumberFormat="1" applyFont="1" applyBorder="1"/>
    <xf numFmtId="164" fontId="13" fillId="0" borderId="20" xfId="1" applyNumberFormat="1" applyFont="1" applyBorder="1"/>
    <xf numFmtId="0" fontId="2" fillId="0" borderId="32" xfId="0" applyFont="1" applyBorder="1" applyAlignment="1">
      <alignment horizontal="center"/>
    </xf>
    <xf numFmtId="164" fontId="21" fillId="0" borderId="8" xfId="1" applyNumberFormat="1" applyFont="1" applyBorder="1"/>
    <xf numFmtId="164" fontId="0" fillId="0" borderId="7" xfId="1" applyNumberFormat="1" applyFont="1" applyBorder="1"/>
    <xf numFmtId="0" fontId="9" fillId="0" borderId="5" xfId="0" applyFont="1" applyBorder="1"/>
    <xf numFmtId="0" fontId="0" fillId="0" borderId="6" xfId="0" applyBorder="1" applyAlignment="1">
      <alignment horizontal="center"/>
    </xf>
    <xf numFmtId="0" fontId="0" fillId="0" borderId="5" xfId="0" applyFont="1" applyBorder="1"/>
    <xf numFmtId="164" fontId="1" fillId="2" borderId="32" xfId="1" applyNumberFormat="1" applyFont="1" applyFill="1" applyBorder="1"/>
    <xf numFmtId="164" fontId="1" fillId="2" borderId="6" xfId="1" applyNumberFormat="1" applyFont="1" applyFill="1" applyBorder="1"/>
    <xf numFmtId="49" fontId="0" fillId="0" borderId="43" xfId="0" applyNumberFormat="1" applyFont="1" applyBorder="1" applyAlignment="1">
      <alignment horizontal="center"/>
    </xf>
    <xf numFmtId="49" fontId="2" fillId="0" borderId="38" xfId="0" applyNumberFormat="1" applyFont="1" applyBorder="1" applyAlignment="1">
      <alignment horizontal="center"/>
    </xf>
    <xf numFmtId="49" fontId="2" fillId="0" borderId="36" xfId="0" applyNumberFormat="1" applyFont="1" applyBorder="1" applyAlignment="1">
      <alignment horizontal="center"/>
    </xf>
    <xf numFmtId="0" fontId="2" fillId="0" borderId="17" xfId="1" applyNumberFormat="1" applyFont="1" applyBorder="1"/>
    <xf numFmtId="0" fontId="2" fillId="0" borderId="19" xfId="1" applyNumberFormat="1" applyFont="1" applyBorder="1"/>
    <xf numFmtId="0" fontId="0" fillId="0" borderId="1" xfId="1" applyNumberFormat="1" applyFont="1" applyBorder="1"/>
    <xf numFmtId="0" fontId="20" fillId="0" borderId="35" xfId="0" applyFont="1" applyBorder="1" applyAlignment="1">
      <alignment horizontal="center"/>
    </xf>
    <xf numFmtId="164" fontId="20" fillId="3" borderId="2" xfId="1" applyNumberFormat="1" applyFont="1" applyFill="1" applyBorder="1"/>
    <xf numFmtId="49" fontId="0" fillId="0" borderId="48" xfId="0" applyNumberFormat="1" applyFont="1" applyBorder="1" applyAlignment="1">
      <alignment horizontal="center"/>
    </xf>
    <xf numFmtId="164" fontId="0" fillId="0" borderId="2" xfId="1" applyNumberFormat="1" applyFont="1" applyBorder="1"/>
    <xf numFmtId="164" fontId="0" fillId="0" borderId="2" xfId="1" applyNumberFormat="1" applyFont="1" applyBorder="1" applyAlignment="1"/>
    <xf numFmtId="164" fontId="0" fillId="0" borderId="6" xfId="1" applyNumberFormat="1" applyFont="1" applyBorder="1" applyAlignment="1"/>
    <xf numFmtId="164" fontId="2" fillId="0" borderId="8" xfId="1" applyNumberFormat="1" applyFont="1" applyBorder="1" applyAlignment="1"/>
    <xf numFmtId="164" fontId="0" fillId="0" borderId="8" xfId="1" applyNumberFormat="1" applyFont="1" applyBorder="1"/>
    <xf numFmtId="49" fontId="0" fillId="0" borderId="35" xfId="0" applyNumberFormat="1" applyFont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164" fontId="0" fillId="0" borderId="1" xfId="1" applyNumberFormat="1" applyFont="1" applyBorder="1" applyAlignment="1"/>
    <xf numFmtId="164" fontId="0" fillId="0" borderId="8" xfId="1" applyNumberFormat="1" applyFont="1" applyBorder="1" applyAlignment="1"/>
    <xf numFmtId="164" fontId="2" fillId="0" borderId="36" xfId="1" applyNumberFormat="1" applyFont="1" applyBorder="1"/>
    <xf numFmtId="0" fontId="0" fillId="0" borderId="6" xfId="0" applyFont="1" applyBorder="1" applyAlignment="1">
      <alignment horizontal="center"/>
    </xf>
    <xf numFmtId="0" fontId="2" fillId="0" borderId="8" xfId="0" applyFont="1" applyBorder="1"/>
    <xf numFmtId="164" fontId="2" fillId="3" borderId="8" xfId="1" applyNumberFormat="1" applyFont="1" applyFill="1" applyBorder="1"/>
    <xf numFmtId="164" fontId="20" fillId="0" borderId="7" xfId="1" applyNumberFormat="1" applyFont="1" applyBorder="1"/>
    <xf numFmtId="0" fontId="2" fillId="0" borderId="8" xfId="1" applyNumberFormat="1" applyFont="1" applyBorder="1"/>
    <xf numFmtId="164" fontId="0" fillId="0" borderId="1" xfId="1" applyNumberFormat="1" applyFont="1" applyFill="1" applyBorder="1"/>
    <xf numFmtId="0" fontId="20" fillId="0" borderId="32" xfId="1" applyNumberFormat="1" applyFont="1" applyBorder="1"/>
    <xf numFmtId="0" fontId="20" fillId="0" borderId="43" xfId="0" applyFont="1" applyBorder="1" applyAlignment="1">
      <alignment horizontal="center"/>
    </xf>
    <xf numFmtId="0" fontId="0" fillId="0" borderId="6" xfId="1" applyNumberFormat="1" applyFont="1" applyBorder="1"/>
    <xf numFmtId="0" fontId="2" fillId="0" borderId="22" xfId="0" applyFont="1" applyBorder="1" applyAlignment="1">
      <alignment horizontal="center"/>
    </xf>
    <xf numFmtId="164" fontId="1" fillId="3" borderId="17" xfId="1" applyNumberFormat="1" applyFont="1" applyFill="1" applyBorder="1"/>
    <xf numFmtId="164" fontId="0" fillId="3" borderId="1" xfId="1" applyNumberFormat="1" applyFont="1" applyFill="1" applyBorder="1"/>
    <xf numFmtId="0" fontId="0" fillId="0" borderId="32" xfId="1" applyNumberFormat="1" applyFont="1" applyBorder="1"/>
    <xf numFmtId="0" fontId="5" fillId="0" borderId="50" xfId="0" applyFont="1" applyBorder="1" applyAlignment="1">
      <alignment horizontal="center" wrapText="1"/>
    </xf>
    <xf numFmtId="0" fontId="5" fillId="0" borderId="51" xfId="0" applyFont="1" applyFill="1" applyBorder="1" applyAlignment="1">
      <alignment horizontal="center" wrapText="1"/>
    </xf>
    <xf numFmtId="0" fontId="5" fillId="0" borderId="52" xfId="0" applyFont="1" applyFill="1" applyBorder="1" applyAlignment="1">
      <alignment horizontal="center"/>
    </xf>
    <xf numFmtId="0" fontId="6" fillId="0" borderId="51" xfId="0" applyFont="1" applyFill="1" applyBorder="1" applyAlignment="1">
      <alignment horizontal="center" wrapText="1"/>
    </xf>
    <xf numFmtId="49" fontId="0" fillId="0" borderId="53" xfId="0" applyNumberFormat="1" applyFont="1" applyBorder="1" applyAlignment="1">
      <alignment horizontal="center"/>
    </xf>
    <xf numFmtId="49" fontId="0" fillId="0" borderId="52" xfId="0" applyNumberFormat="1" applyFont="1" applyBorder="1" applyAlignment="1">
      <alignment horizontal="center"/>
    </xf>
    <xf numFmtId="49" fontId="0" fillId="0" borderId="45" xfId="0" applyNumberFormat="1" applyFont="1" applyBorder="1" applyAlignment="1">
      <alignment horizontal="center"/>
    </xf>
    <xf numFmtId="49" fontId="0" fillId="0" borderId="52" xfId="0" applyNumberFormat="1" applyBorder="1" applyAlignment="1">
      <alignment horizontal="center"/>
    </xf>
    <xf numFmtId="164" fontId="0" fillId="3" borderId="2" xfId="1" applyNumberFormat="1" applyFont="1" applyFill="1" applyBorder="1"/>
    <xf numFmtId="0" fontId="20" fillId="0" borderId="31" xfId="0" applyFont="1" applyBorder="1"/>
    <xf numFmtId="0" fontId="20" fillId="0" borderId="36" xfId="1" applyNumberFormat="1" applyFont="1" applyBorder="1"/>
    <xf numFmtId="0" fontId="0" fillId="0" borderId="2" xfId="1" applyNumberFormat="1" applyFont="1" applyBorder="1"/>
    <xf numFmtId="164" fontId="13" fillId="0" borderId="2" xfId="1" applyNumberFormat="1" applyFont="1" applyBorder="1"/>
    <xf numFmtId="164" fontId="13" fillId="0" borderId="32" xfId="1" applyNumberFormat="1" applyFont="1" applyBorder="1"/>
    <xf numFmtId="0" fontId="2" fillId="0" borderId="34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164" fontId="0" fillId="2" borderId="1" xfId="1" applyNumberFormat="1" applyFont="1" applyFill="1" applyBorder="1"/>
    <xf numFmtId="14" fontId="1" fillId="0" borderId="1" xfId="1" applyNumberFormat="1" applyFont="1" applyBorder="1"/>
    <xf numFmtId="0" fontId="0" fillId="0" borderId="1" xfId="0" applyBorder="1" applyAlignment="1">
      <alignment horizontal="center"/>
    </xf>
    <xf numFmtId="164" fontId="2" fillId="0" borderId="32" xfId="1" applyNumberFormat="1" applyFont="1" applyFill="1" applyBorder="1"/>
    <xf numFmtId="0" fontId="0" fillId="0" borderId="54" xfId="0" applyBorder="1"/>
    <xf numFmtId="164" fontId="0" fillId="0" borderId="54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49" fontId="0" fillId="0" borderId="12" xfId="0" applyNumberFormat="1" applyFont="1" applyBorder="1" applyAlignment="1">
      <alignment horizontal="center"/>
    </xf>
    <xf numFmtId="164" fontId="1" fillId="0" borderId="8" xfId="1" applyNumberFormat="1" applyFont="1" applyBorder="1" applyAlignment="1"/>
    <xf numFmtId="164" fontId="2" fillId="0" borderId="27" xfId="1" applyNumberFormat="1" applyFont="1" applyBorder="1"/>
    <xf numFmtId="164" fontId="2" fillId="0" borderId="44" xfId="1" applyNumberFormat="1" applyFont="1" applyBorder="1"/>
    <xf numFmtId="164" fontId="1" fillId="3" borderId="32" xfId="1" applyNumberFormat="1" applyFont="1" applyFill="1" applyBorder="1"/>
    <xf numFmtId="49" fontId="0" fillId="0" borderId="2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164" fontId="20" fillId="0" borderId="2" xfId="1" applyNumberFormat="1" applyFont="1" applyBorder="1"/>
    <xf numFmtId="0" fontId="2" fillId="0" borderId="20" xfId="1" applyNumberFormat="1" applyFont="1" applyBorder="1"/>
    <xf numFmtId="0" fontId="0" fillId="0" borderId="32" xfId="0" applyFont="1" applyBorder="1" applyAlignment="1">
      <alignment horizontal="center"/>
    </xf>
    <xf numFmtId="164" fontId="0" fillId="4" borderId="1" xfId="0" applyNumberFormat="1" applyFill="1" applyBorder="1"/>
    <xf numFmtId="164" fontId="0" fillId="4" borderId="54" xfId="0" applyNumberFormat="1" applyFill="1" applyBorder="1"/>
    <xf numFmtId="0" fontId="0" fillId="4" borderId="1" xfId="0" applyFill="1" applyBorder="1"/>
    <xf numFmtId="164" fontId="0" fillId="0" borderId="0" xfId="0" applyNumberFormat="1" applyBorder="1"/>
    <xf numFmtId="0" fontId="1" fillId="0" borderId="8" xfId="1" applyNumberFormat="1" applyFont="1" applyBorder="1"/>
    <xf numFmtId="0" fontId="2" fillId="0" borderId="2" xfId="0" applyFont="1" applyBorder="1" applyAlignment="1">
      <alignment horizontal="center"/>
    </xf>
    <xf numFmtId="164" fontId="2" fillId="5" borderId="19" xfId="1" applyNumberFormat="1" applyFont="1" applyFill="1" applyBorder="1"/>
    <xf numFmtId="0" fontId="0" fillId="0" borderId="2" xfId="0" applyFont="1" applyBorder="1" applyAlignment="1">
      <alignment horizontal="center"/>
    </xf>
    <xf numFmtId="49" fontId="2" fillId="0" borderId="3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54" xfId="1" applyNumberFormat="1" applyFont="1" applyBorder="1"/>
    <xf numFmtId="0" fontId="2" fillId="0" borderId="44" xfId="0" applyFont="1" applyBorder="1" applyAlignment="1">
      <alignment horizontal="center"/>
    </xf>
    <xf numFmtId="0" fontId="2" fillId="0" borderId="34" xfId="0" applyFont="1" applyBorder="1"/>
    <xf numFmtId="164" fontId="21" fillId="0" borderId="20" xfId="1" applyNumberFormat="1" applyFont="1" applyBorder="1"/>
    <xf numFmtId="0" fontId="0" fillId="0" borderId="14" xfId="0" applyFont="1" applyBorder="1"/>
    <xf numFmtId="0" fontId="2" fillId="0" borderId="29" xfId="0" applyFont="1" applyBorder="1"/>
    <xf numFmtId="0" fontId="0" fillId="0" borderId="31" xfId="0" applyBorder="1"/>
    <xf numFmtId="0" fontId="0" fillId="0" borderId="29" xfId="0" applyFont="1" applyBorder="1"/>
    <xf numFmtId="164" fontId="20" fillId="3" borderId="32" xfId="1" applyNumberFormat="1" applyFont="1" applyFill="1" applyBorder="1"/>
    <xf numFmtId="0" fontId="21" fillId="0" borderId="34" xfId="0" applyFont="1" applyBorder="1" applyAlignment="1">
      <alignment horizontal="center"/>
    </xf>
    <xf numFmtId="164" fontId="21" fillId="3" borderId="20" xfId="1" applyNumberFormat="1" applyFont="1" applyFill="1" applyBorder="1"/>
    <xf numFmtId="164" fontId="0" fillId="0" borderId="33" xfId="1" applyNumberFormat="1" applyFont="1" applyBorder="1"/>
    <xf numFmtId="0" fontId="21" fillId="0" borderId="44" xfId="0" applyFont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3" fontId="1" fillId="0" borderId="2" xfId="1" applyNumberFormat="1" applyFont="1" applyBorder="1" applyAlignment="1">
      <alignment horizontal="center"/>
    </xf>
    <xf numFmtId="0" fontId="20" fillId="0" borderId="2" xfId="1" applyNumberFormat="1" applyFont="1" applyBorder="1"/>
    <xf numFmtId="164" fontId="0" fillId="0" borderId="17" xfId="1" applyNumberFormat="1" applyFont="1" applyBorder="1"/>
    <xf numFmtId="3" fontId="0" fillId="0" borderId="8" xfId="1" applyNumberFormat="1" applyFont="1" applyBorder="1"/>
    <xf numFmtId="49" fontId="0" fillId="0" borderId="31" xfId="0" applyNumberForma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8" xfId="1" applyNumberFormat="1" applyFont="1" applyBorder="1"/>
    <xf numFmtId="164" fontId="1" fillId="3" borderId="8" xfId="1" applyNumberFormat="1" applyFont="1" applyFill="1" applyBorder="1"/>
    <xf numFmtId="164" fontId="20" fillId="0" borderId="20" xfId="1" applyNumberFormat="1" applyFont="1" applyBorder="1"/>
    <xf numFmtId="164" fontId="1" fillId="2" borderId="8" xfId="1" applyNumberFormat="1" applyFont="1" applyFill="1" applyBorder="1"/>
    <xf numFmtId="0" fontId="2" fillId="0" borderId="14" xfId="0" applyFont="1" applyBorder="1"/>
    <xf numFmtId="3" fontId="0" fillId="0" borderId="32" xfId="1" applyNumberFormat="1" applyFont="1" applyBorder="1" applyAlignment="1">
      <alignment horizontal="center"/>
    </xf>
    <xf numFmtId="0" fontId="0" fillId="0" borderId="14" xfId="0" applyBorder="1"/>
    <xf numFmtId="3" fontId="1" fillId="0" borderId="8" xfId="1" applyNumberFormat="1" applyFont="1" applyBorder="1"/>
    <xf numFmtId="3" fontId="0" fillId="0" borderId="1" xfId="1" applyNumberFormat="1" applyFont="1" applyBorder="1"/>
    <xf numFmtId="3" fontId="2" fillId="0" borderId="20" xfId="1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12" xfId="0" applyFont="1" applyBorder="1"/>
    <xf numFmtId="0" fontId="20" fillId="0" borderId="38" xfId="1" applyNumberFormat="1" applyFont="1" applyBorder="1"/>
    <xf numFmtId="164" fontId="20" fillId="0" borderId="8" xfId="1" applyNumberFormat="1" applyFont="1" applyBorder="1"/>
    <xf numFmtId="164" fontId="20" fillId="3" borderId="8" xfId="1" applyNumberFormat="1" applyFont="1" applyFill="1" applyBorder="1"/>
    <xf numFmtId="164" fontId="0" fillId="0" borderId="15" xfId="1" applyNumberFormat="1" applyFont="1" applyBorder="1"/>
    <xf numFmtId="164" fontId="0" fillId="0" borderId="54" xfId="0" applyNumberFormat="1" applyFont="1" applyBorder="1"/>
    <xf numFmtId="0" fontId="9" fillId="0" borderId="31" xfId="0" applyFont="1" applyBorder="1"/>
    <xf numFmtId="0" fontId="9" fillId="0" borderId="29" xfId="0" applyFont="1" applyBorder="1"/>
    <xf numFmtId="0" fontId="13" fillId="0" borderId="31" xfId="0" applyFont="1" applyBorder="1"/>
    <xf numFmtId="0" fontId="9" fillId="0" borderId="16" xfId="0" applyFont="1" applyBorder="1"/>
    <xf numFmtId="164" fontId="9" fillId="0" borderId="17" xfId="1" applyNumberFormat="1" applyFont="1" applyBorder="1"/>
    <xf numFmtId="0" fontId="9" fillId="0" borderId="14" xfId="0" applyFont="1" applyBorder="1"/>
    <xf numFmtId="164" fontId="4" fillId="0" borderId="1" xfId="1" applyNumberFormat="1" applyFont="1" applyBorder="1"/>
    <xf numFmtId="49" fontId="0" fillId="0" borderId="51" xfId="0" applyNumberFormat="1" applyBorder="1" applyAlignment="1">
      <alignment horizontal="center"/>
    </xf>
    <xf numFmtId="49" fontId="0" fillId="0" borderId="29" xfId="0" applyNumberFormat="1" applyFont="1" applyBorder="1"/>
    <xf numFmtId="49" fontId="0" fillId="0" borderId="1" xfId="0" applyNumberFormat="1" applyBorder="1"/>
    <xf numFmtId="49" fontId="0" fillId="0" borderId="1" xfId="0" applyNumberFormat="1" applyFont="1" applyBorder="1"/>
    <xf numFmtId="164" fontId="2" fillId="0" borderId="55" xfId="1" applyNumberFormat="1" applyFont="1" applyBorder="1"/>
    <xf numFmtId="164" fontId="1" fillId="0" borderId="32" xfId="1" applyNumberFormat="1" applyFont="1" applyBorder="1" applyAlignment="1"/>
    <xf numFmtId="0" fontId="5" fillId="0" borderId="1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49" fontId="0" fillId="0" borderId="14" xfId="0" applyNumberFormat="1" applyBorder="1"/>
    <xf numFmtId="49" fontId="0" fillId="0" borderId="29" xfId="0" applyNumberFormat="1" applyBorder="1" applyAlignment="1">
      <alignment horizontal="center"/>
    </xf>
    <xf numFmtId="49" fontId="0" fillId="0" borderId="56" xfId="0" applyNumberFormat="1" applyFont="1" applyBorder="1" applyAlignment="1">
      <alignment horizontal="center"/>
    </xf>
    <xf numFmtId="49" fontId="0" fillId="0" borderId="22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49" fontId="0" fillId="0" borderId="6" xfId="0" applyNumberFormat="1" applyFont="1" applyBorder="1" applyAlignment="1">
      <alignment horizontal="center"/>
    </xf>
    <xf numFmtId="3" fontId="22" fillId="3" borderId="38" xfId="0" applyNumberFormat="1" applyFont="1" applyFill="1" applyBorder="1" applyAlignment="1">
      <alignment horizontal="center"/>
    </xf>
    <xf numFmtId="0" fontId="22" fillId="3" borderId="8" xfId="0" applyFont="1" applyFill="1" applyBorder="1" applyAlignment="1">
      <alignment horizontal="center"/>
    </xf>
    <xf numFmtId="3" fontId="22" fillId="3" borderId="8" xfId="0" applyNumberFormat="1" applyFont="1" applyFill="1" applyBorder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4" fontId="9" fillId="2" borderId="2" xfId="1" applyNumberFormat="1" applyFont="1" applyFill="1" applyBorder="1"/>
    <xf numFmtId="164" fontId="9" fillId="2" borderId="1" xfId="1" applyNumberFormat="1" applyFont="1" applyFill="1" applyBorder="1"/>
    <xf numFmtId="164" fontId="9" fillId="0" borderId="28" xfId="1" applyNumberFormat="1" applyFont="1" applyBorder="1"/>
    <xf numFmtId="164" fontId="9" fillId="2" borderId="56" xfId="1" applyNumberFormat="1" applyFont="1" applyFill="1" applyBorder="1"/>
    <xf numFmtId="164" fontId="9" fillId="2" borderId="28" xfId="1" applyNumberFormat="1" applyFont="1" applyFill="1" applyBorder="1"/>
    <xf numFmtId="164" fontId="9" fillId="2" borderId="8" xfId="1" applyNumberFormat="1" applyFont="1" applyFill="1" applyBorder="1"/>
    <xf numFmtId="164" fontId="9" fillId="2" borderId="17" xfId="1" applyNumberFormat="1" applyFont="1" applyFill="1" applyBorder="1"/>
    <xf numFmtId="164" fontId="9" fillId="2" borderId="32" xfId="1" applyNumberFormat="1" applyFont="1" applyFill="1" applyBorder="1"/>
    <xf numFmtId="164" fontId="9" fillId="2" borderId="6" xfId="1" applyNumberFormat="1" applyFont="1" applyFill="1" applyBorder="1"/>
    <xf numFmtId="164" fontId="9" fillId="2" borderId="19" xfId="1" applyNumberFormat="1" applyFont="1" applyFill="1" applyBorder="1"/>
    <xf numFmtId="49" fontId="0" fillId="0" borderId="12" xfId="0" applyNumberFormat="1" applyFont="1" applyBorder="1"/>
    <xf numFmtId="164" fontId="1" fillId="0" borderId="57" xfId="1" applyNumberFormat="1" applyFont="1" applyBorder="1"/>
    <xf numFmtId="164" fontId="2" fillId="0" borderId="26" xfId="1" applyNumberFormat="1" applyFont="1" applyBorder="1"/>
    <xf numFmtId="49" fontId="0" fillId="0" borderId="2" xfId="0" applyNumberFormat="1" applyFont="1" applyBorder="1"/>
    <xf numFmtId="49" fontId="0" fillId="0" borderId="5" xfId="0" applyNumberFormat="1" applyBorder="1" applyAlignment="1">
      <alignment horizontal="center"/>
    </xf>
    <xf numFmtId="14" fontId="2" fillId="0" borderId="38" xfId="0" applyNumberFormat="1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14" fontId="0" fillId="0" borderId="4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58" xfId="1" applyNumberFormat="1" applyFont="1" applyBorder="1"/>
    <xf numFmtId="49" fontId="9" fillId="0" borderId="1" xfId="0" applyNumberFormat="1" applyFont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3" fontId="1" fillId="0" borderId="6" xfId="1" applyNumberFormat="1" applyFont="1" applyBorder="1" applyAlignment="1">
      <alignment horizontal="center"/>
    </xf>
    <xf numFmtId="3" fontId="2" fillId="0" borderId="32" xfId="1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1" fillId="0" borderId="59" xfId="1" applyNumberFormat="1" applyFont="1" applyBorder="1"/>
    <xf numFmtId="0" fontId="0" fillId="0" borderId="6" xfId="0" applyBorder="1"/>
    <xf numFmtId="3" fontId="1" fillId="0" borderId="19" xfId="1" applyNumberFormat="1" applyFont="1" applyBorder="1" applyAlignment="1">
      <alignment horizontal="center"/>
    </xf>
    <xf numFmtId="3" fontId="1" fillId="0" borderId="32" xfId="1" applyNumberFormat="1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2" xfId="1" applyNumberFormat="1" applyFont="1" applyBorder="1" applyAlignment="1">
      <alignment horizontal="center"/>
    </xf>
    <xf numFmtId="164" fontId="1" fillId="0" borderId="8" xfId="1" applyNumberFormat="1" applyFont="1" applyBorder="1" applyAlignment="1">
      <alignment horizontal="center"/>
    </xf>
    <xf numFmtId="164" fontId="1" fillId="0" borderId="6" xfId="1" applyNumberFormat="1" applyFont="1" applyBorder="1" applyAlignment="1">
      <alignment horizontal="center"/>
    </xf>
    <xf numFmtId="164" fontId="20" fillId="0" borderId="3" xfId="1" applyNumberFormat="1" applyFont="1" applyBorder="1"/>
    <xf numFmtId="0" fontId="20" fillId="0" borderId="1" xfId="0" applyFont="1" applyBorder="1" applyAlignment="1">
      <alignment horizontal="center"/>
    </xf>
    <xf numFmtId="164" fontId="20" fillId="0" borderId="32" xfId="1" applyNumberFormat="1" applyFont="1" applyBorder="1" applyAlignment="1"/>
    <xf numFmtId="164" fontId="20" fillId="0" borderId="6" xfId="1" applyNumberFormat="1" applyFont="1" applyBorder="1" applyAlignment="1"/>
    <xf numFmtId="0" fontId="0" fillId="0" borderId="3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32" xfId="1" applyNumberFormat="1" applyFont="1" applyBorder="1" applyAlignment="1">
      <alignment horizontal="center"/>
    </xf>
    <xf numFmtId="164" fontId="1" fillId="0" borderId="6" xfId="1" applyNumberFormat="1" applyFont="1" applyFill="1" applyBorder="1"/>
    <xf numFmtId="49" fontId="0" fillId="0" borderId="36" xfId="0" applyNumberFormat="1" applyFont="1" applyBorder="1"/>
    <xf numFmtId="0" fontId="9" fillId="0" borderId="6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17" xfId="1" applyNumberFormat="1" applyFont="1" applyBorder="1"/>
    <xf numFmtId="0" fontId="0" fillId="0" borderId="31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1" fillId="0" borderId="8" xfId="1" applyNumberFormat="1" applyFont="1" applyBorder="1"/>
    <xf numFmtId="164" fontId="21" fillId="3" borderId="8" xfId="1" applyNumberFormat="1" applyFont="1" applyFill="1" applyBorder="1"/>
    <xf numFmtId="164" fontId="21" fillId="0" borderId="13" xfId="1" applyNumberFormat="1" applyFont="1" applyBorder="1"/>
    <xf numFmtId="49" fontId="2" fillId="0" borderId="31" xfId="0" applyNumberFormat="1" applyFont="1" applyBorder="1" applyAlignment="1">
      <alignment horizontal="left"/>
    </xf>
    <xf numFmtId="49" fontId="0" fillId="0" borderId="29" xfId="0" applyNumberFormat="1" applyFont="1" applyBorder="1" applyAlignment="1">
      <alignment horizontal="left"/>
    </xf>
    <xf numFmtId="49" fontId="0" fillId="0" borderId="6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2" fillId="0" borderId="36" xfId="0" applyNumberFormat="1" applyFont="1" applyBorder="1"/>
    <xf numFmtId="49" fontId="0" fillId="0" borderId="5" xfId="0" applyNumberFormat="1" applyFont="1" applyBorder="1" applyAlignment="1">
      <alignment horizontal="left"/>
    </xf>
    <xf numFmtId="0" fontId="21" fillId="0" borderId="16" xfId="0" applyFont="1" applyBorder="1" applyAlignment="1">
      <alignment horizontal="center"/>
    </xf>
    <xf numFmtId="49" fontId="0" fillId="0" borderId="5" xfId="0" applyNumberFormat="1" applyFont="1" applyBorder="1"/>
    <xf numFmtId="49" fontId="0" fillId="0" borderId="43" xfId="0" applyNumberFormat="1" applyFont="1" applyBorder="1"/>
    <xf numFmtId="49" fontId="2" fillId="0" borderId="12" xfId="0" applyNumberFormat="1" applyFont="1" applyBorder="1"/>
    <xf numFmtId="49" fontId="2" fillId="0" borderId="38" xfId="0" applyNumberFormat="1" applyFont="1" applyBorder="1"/>
    <xf numFmtId="164" fontId="2" fillId="2" borderId="8" xfId="1" applyNumberFormat="1" applyFont="1" applyFill="1" applyBorder="1"/>
    <xf numFmtId="164" fontId="2" fillId="0" borderId="60" xfId="1" applyNumberFormat="1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21" fillId="0" borderId="32" xfId="0" applyFont="1" applyBorder="1" applyAlignment="1">
      <alignment horizontal="center"/>
    </xf>
    <xf numFmtId="164" fontId="20" fillId="3" borderId="6" xfId="1" applyNumberFormat="1" applyFont="1" applyFill="1" applyBorder="1"/>
    <xf numFmtId="164" fontId="21" fillId="3" borderId="17" xfId="1" applyNumberFormat="1" applyFont="1" applyFill="1" applyBorder="1"/>
    <xf numFmtId="49" fontId="0" fillId="0" borderId="35" xfId="0" applyNumberFormat="1" applyFont="1" applyBorder="1"/>
    <xf numFmtId="49" fontId="0" fillId="0" borderId="24" xfId="0" applyNumberFormat="1" applyFont="1" applyBorder="1"/>
    <xf numFmtId="164" fontId="0" fillId="0" borderId="19" xfId="1" applyNumberFormat="1" applyFont="1" applyBorder="1"/>
    <xf numFmtId="164" fontId="9" fillId="0" borderId="19" xfId="1" applyNumberFormat="1" applyFont="1" applyBorder="1"/>
    <xf numFmtId="164" fontId="13" fillId="0" borderId="19" xfId="1" applyNumberFormat="1" applyFont="1" applyBorder="1"/>
    <xf numFmtId="14" fontId="1" fillId="0" borderId="6" xfId="1" applyNumberFormat="1" applyFont="1" applyBorder="1"/>
    <xf numFmtId="164" fontId="2" fillId="3" borderId="17" xfId="1" applyNumberFormat="1" applyFont="1" applyFill="1" applyBorder="1"/>
    <xf numFmtId="0" fontId="21" fillId="0" borderId="38" xfId="0" applyFont="1" applyBorder="1" applyAlignment="1">
      <alignment horizontal="center"/>
    </xf>
    <xf numFmtId="164" fontId="0" fillId="0" borderId="47" xfId="1" applyNumberFormat="1" applyFont="1" applyBorder="1"/>
    <xf numFmtId="164" fontId="1" fillId="0" borderId="60" xfId="1" applyNumberFormat="1" applyFont="1" applyBorder="1"/>
    <xf numFmtId="0" fontId="0" fillId="0" borderId="8" xfId="0" applyFont="1" applyBorder="1" applyAlignment="1">
      <alignment horizontal="center"/>
    </xf>
    <xf numFmtId="164" fontId="0" fillId="0" borderId="61" xfId="1" applyNumberFormat="1" applyFont="1" applyBorder="1"/>
    <xf numFmtId="164" fontId="1" fillId="0" borderId="61" xfId="1" applyNumberFormat="1" applyFont="1" applyBorder="1"/>
    <xf numFmtId="0" fontId="13" fillId="0" borderId="1" xfId="1" applyNumberFormat="1" applyFont="1" applyBorder="1"/>
    <xf numFmtId="164" fontId="2" fillId="0" borderId="47" xfId="1" applyNumberFormat="1" applyFont="1" applyBorder="1"/>
    <xf numFmtId="49" fontId="2" fillId="0" borderId="32" xfId="0" applyNumberFormat="1" applyFont="1" applyBorder="1"/>
    <xf numFmtId="49" fontId="0" fillId="0" borderId="6" xfId="0" applyNumberFormat="1" applyFont="1" applyBorder="1"/>
    <xf numFmtId="0" fontId="2" fillId="0" borderId="29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164" fontId="2" fillId="0" borderId="30" xfId="1" applyNumberFormat="1" applyFont="1" applyBorder="1"/>
    <xf numFmtId="0" fontId="9" fillId="0" borderId="1" xfId="0" applyFont="1" applyBorder="1" applyAlignment="1">
      <alignment horizontal="center"/>
    </xf>
    <xf numFmtId="0" fontId="0" fillId="0" borderId="1" xfId="0" applyFont="1" applyBorder="1"/>
    <xf numFmtId="0" fontId="13" fillId="0" borderId="6" xfId="1" applyNumberFormat="1" applyFont="1" applyBorder="1"/>
    <xf numFmtId="0" fontId="2" fillId="0" borderId="32" xfId="0" applyFont="1" applyBorder="1"/>
    <xf numFmtId="0" fontId="0" fillId="0" borderId="6" xfId="0" applyFont="1" applyBorder="1"/>
    <xf numFmtId="164" fontId="20" fillId="3" borderId="28" xfId="1" applyNumberFormat="1" applyFont="1" applyFill="1" applyBorder="1"/>
    <xf numFmtId="164" fontId="0" fillId="0" borderId="20" xfId="0" applyNumberFormat="1" applyBorder="1"/>
    <xf numFmtId="164" fontId="2" fillId="0" borderId="62" xfId="1" applyNumberFormat="1" applyFont="1" applyBorder="1"/>
    <xf numFmtId="164" fontId="1" fillId="0" borderId="39" xfId="1" applyNumberFormat="1" applyFont="1" applyBorder="1"/>
    <xf numFmtId="164" fontId="2" fillId="2" borderId="37" xfId="1" applyNumberFormat="1" applyFont="1" applyFill="1" applyBorder="1"/>
    <xf numFmtId="49" fontId="0" fillId="0" borderId="2" xfId="0" applyNumberFormat="1" applyBorder="1" applyAlignment="1">
      <alignment horizontal="center"/>
    </xf>
    <xf numFmtId="0" fontId="9" fillId="0" borderId="2" xfId="1" applyNumberFormat="1" applyFont="1" applyBorder="1"/>
    <xf numFmtId="3" fontId="9" fillId="0" borderId="2" xfId="1" applyNumberFormat="1" applyFont="1" applyBorder="1"/>
    <xf numFmtId="0" fontId="21" fillId="0" borderId="1" xfId="1" applyNumberFormat="1" applyFont="1" applyBorder="1"/>
    <xf numFmtId="3" fontId="2" fillId="0" borderId="8" xfId="1" applyNumberFormat="1" applyFont="1" applyBorder="1"/>
    <xf numFmtId="0" fontId="21" fillId="0" borderId="20" xfId="0" applyFont="1" applyBorder="1" applyAlignment="1">
      <alignment horizontal="center"/>
    </xf>
    <xf numFmtId="14" fontId="0" fillId="0" borderId="24" xfId="0" applyNumberFormat="1" applyFont="1" applyBorder="1" applyAlignment="1">
      <alignment horizontal="center"/>
    </xf>
    <xf numFmtId="164" fontId="1" fillId="0" borderId="23" xfId="1" applyNumberFormat="1" applyFont="1" applyBorder="1"/>
    <xf numFmtId="164" fontId="2" fillId="0" borderId="17" xfId="1" applyNumberFormat="1" applyFont="1" applyFill="1" applyBorder="1"/>
    <xf numFmtId="164" fontId="0" fillId="3" borderId="0" xfId="0" applyNumberFormat="1" applyFont="1" applyFill="1" applyBorder="1"/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left"/>
    </xf>
    <xf numFmtId="49" fontId="2" fillId="0" borderId="44" xfId="0" applyNumberFormat="1" applyFont="1" applyBorder="1" applyAlignment="1">
      <alignment horizontal="center"/>
    </xf>
    <xf numFmtId="164" fontId="2" fillId="0" borderId="20" xfId="1" applyNumberFormat="1" applyFont="1" applyBorder="1" applyAlignment="1"/>
    <xf numFmtId="0" fontId="0" fillId="0" borderId="63" xfId="0" applyBorder="1"/>
    <xf numFmtId="0" fontId="0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6" xfId="0" applyFont="1" applyBorder="1"/>
    <xf numFmtId="164" fontId="2" fillId="0" borderId="41" xfId="1" applyNumberFormat="1" applyFont="1" applyBorder="1"/>
    <xf numFmtId="164" fontId="0" fillId="2" borderId="54" xfId="0" applyNumberFormat="1" applyFill="1" applyBorder="1"/>
    <xf numFmtId="0" fontId="9" fillId="0" borderId="2" xfId="0" applyFont="1" applyBorder="1" applyAlignment="1">
      <alignment horizontal="center"/>
    </xf>
    <xf numFmtId="3" fontId="20" fillId="0" borderId="32" xfId="1" applyNumberFormat="1" applyFont="1" applyBorder="1"/>
    <xf numFmtId="0" fontId="2" fillId="0" borderId="64" xfId="0" applyFont="1" applyBorder="1" applyAlignment="1">
      <alignment horizontal="center" vertical="center"/>
    </xf>
    <xf numFmtId="164" fontId="2" fillId="0" borderId="54" xfId="1" applyNumberFormat="1" applyFont="1" applyBorder="1"/>
    <xf numFmtId="164" fontId="0" fillId="0" borderId="32" xfId="1" applyNumberFormat="1" applyFont="1" applyBorder="1" applyAlignment="1"/>
    <xf numFmtId="0" fontId="0" fillId="0" borderId="31" xfId="0" applyFont="1" applyBorder="1"/>
    <xf numFmtId="0" fontId="0" fillId="0" borderId="65" xfId="0" applyBorder="1"/>
    <xf numFmtId="164" fontId="2" fillId="0" borderId="1" xfId="1" applyNumberFormat="1" applyFont="1" applyBorder="1" applyAlignment="1"/>
    <xf numFmtId="164" fontId="2" fillId="0" borderId="0" xfId="1" applyNumberFormat="1" applyFont="1" applyBorder="1"/>
    <xf numFmtId="3" fontId="9" fillId="0" borderId="6" xfId="1" applyNumberFormat="1" applyFont="1" applyBorder="1"/>
    <xf numFmtId="49" fontId="2" fillId="0" borderId="1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0" fillId="0" borderId="32" xfId="0" applyNumberFormat="1" applyFont="1" applyBorder="1" applyAlignment="1">
      <alignment horizontal="center"/>
    </xf>
    <xf numFmtId="164" fontId="0" fillId="0" borderId="20" xfId="1" applyNumberFormat="1" applyFont="1" applyBorder="1" applyAlignment="1"/>
    <xf numFmtId="0" fontId="2" fillId="0" borderId="20" xfId="0" applyFont="1" applyBorder="1" applyAlignment="1">
      <alignment horizontal="center"/>
    </xf>
    <xf numFmtId="0" fontId="0" fillId="0" borderId="2" xfId="0" applyFont="1" applyBorder="1"/>
    <xf numFmtId="164" fontId="0" fillId="2" borderId="2" xfId="1" applyNumberFormat="1" applyFont="1" applyFill="1" applyBorder="1"/>
    <xf numFmtId="0" fontId="2" fillId="0" borderId="34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8" xfId="1" applyNumberFormat="1" applyFont="1" applyBorder="1"/>
    <xf numFmtId="164" fontId="9" fillId="3" borderId="2" xfId="1" applyNumberFormat="1" applyFont="1" applyFill="1" applyBorder="1"/>
    <xf numFmtId="0" fontId="2" fillId="0" borderId="25" xfId="0" applyFont="1" applyBorder="1"/>
    <xf numFmtId="0" fontId="21" fillId="0" borderId="20" xfId="1" applyNumberFormat="1" applyFont="1" applyBorder="1"/>
    <xf numFmtId="0" fontId="2" fillId="3" borderId="4" xfId="0" applyFont="1" applyFill="1" applyBorder="1"/>
    <xf numFmtId="0" fontId="2" fillId="3" borderId="1" xfId="1" applyNumberFormat="1" applyFont="1" applyFill="1" applyBorder="1"/>
    <xf numFmtId="164" fontId="2" fillId="3" borderId="1" xfId="1" applyNumberFormat="1" applyFont="1" applyFill="1" applyBorder="1"/>
    <xf numFmtId="164" fontId="1" fillId="3" borderId="3" xfId="1" applyNumberFormat="1" applyFont="1" applyFill="1" applyBorder="1"/>
    <xf numFmtId="0" fontId="0" fillId="0" borderId="32" xfId="0" applyBorder="1"/>
    <xf numFmtId="0" fontId="2" fillId="0" borderId="2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193"/>
  <sheetViews>
    <sheetView view="pageLayout" topLeftCell="A162" zoomScaleNormal="100" workbookViewId="0">
      <selection activeCell="H185" sqref="H185"/>
    </sheetView>
  </sheetViews>
  <sheetFormatPr baseColWidth="10" defaultColWidth="11.42578125" defaultRowHeight="15" x14ac:dyDescent="0.25"/>
  <cols>
    <col min="1" max="1" width="12.140625" customWidth="1"/>
    <col min="2" max="2" width="7.85546875" customWidth="1"/>
    <col min="3" max="3" width="11.85546875" customWidth="1"/>
    <col min="4" max="4" width="12.28515625" customWidth="1"/>
    <col min="5" max="5" width="11.28515625" customWidth="1"/>
    <col min="6" max="6" width="11.7109375" customWidth="1"/>
    <col min="7" max="7" width="12" customWidth="1"/>
    <col min="8" max="8" width="11.7109375" customWidth="1"/>
    <col min="9" max="9" width="12.7109375" customWidth="1"/>
    <col min="10" max="10" width="10.140625" customWidth="1"/>
    <col min="11" max="11" width="13.28515625" customWidth="1"/>
    <col min="12" max="12" width="12.5703125" customWidth="1"/>
    <col min="13" max="13" width="13.140625" customWidth="1"/>
    <col min="14" max="14" width="11.42578125" customWidth="1"/>
  </cols>
  <sheetData>
    <row r="1" spans="1:12" x14ac:dyDescent="0.25">
      <c r="A1" t="s">
        <v>9</v>
      </c>
      <c r="E1" t="s">
        <v>50</v>
      </c>
      <c r="I1" t="s">
        <v>45</v>
      </c>
    </row>
    <row r="2" spans="1:12" x14ac:dyDescent="0.25">
      <c r="A2" t="s">
        <v>44</v>
      </c>
    </row>
    <row r="3" spans="1:12" x14ac:dyDescent="0.25">
      <c r="E3" t="s">
        <v>13</v>
      </c>
      <c r="F3" s="13">
        <v>6000</v>
      </c>
      <c r="I3" t="s">
        <v>75</v>
      </c>
    </row>
    <row r="4" spans="1:12" x14ac:dyDescent="0.25">
      <c r="E4" t="s">
        <v>6</v>
      </c>
      <c r="F4" s="13" t="s">
        <v>7</v>
      </c>
    </row>
    <row r="5" spans="1:12" ht="15.75" thickBot="1" x14ac:dyDescent="0.3"/>
    <row r="6" spans="1:12" ht="30.75" thickBot="1" x14ac:dyDescent="0.3">
      <c r="A6" s="39" t="s">
        <v>1</v>
      </c>
      <c r="B6" s="254"/>
      <c r="C6" s="45">
        <v>1</v>
      </c>
      <c r="D6" s="45">
        <v>2</v>
      </c>
      <c r="E6" s="45">
        <v>3</v>
      </c>
      <c r="F6" s="45">
        <v>4</v>
      </c>
      <c r="G6" s="45">
        <v>5</v>
      </c>
      <c r="H6" s="45">
        <v>6</v>
      </c>
      <c r="I6" s="45">
        <v>7</v>
      </c>
      <c r="J6" s="45">
        <v>8</v>
      </c>
      <c r="K6" s="43" t="s">
        <v>16</v>
      </c>
      <c r="L6" s="40" t="s">
        <v>17</v>
      </c>
    </row>
    <row r="7" spans="1:12" ht="26.25" x14ac:dyDescent="0.25">
      <c r="A7" s="30" t="s">
        <v>18</v>
      </c>
      <c r="B7" s="208"/>
      <c r="C7" s="413">
        <v>5172000</v>
      </c>
      <c r="D7" s="414">
        <v>359000</v>
      </c>
      <c r="E7" s="414">
        <v>800000</v>
      </c>
      <c r="F7" s="415">
        <v>1200000</v>
      </c>
      <c r="G7" s="415">
        <v>1500000</v>
      </c>
      <c r="H7" s="415">
        <v>7000000</v>
      </c>
      <c r="I7" s="415">
        <v>700000</v>
      </c>
      <c r="J7" s="414">
        <v>900000</v>
      </c>
      <c r="K7" s="103">
        <f>SUM(C7:J7)</f>
        <v>17631000</v>
      </c>
      <c r="L7" s="104">
        <f>K7</f>
        <v>17631000</v>
      </c>
    </row>
    <row r="8" spans="1:12" ht="39" x14ac:dyDescent="0.25">
      <c r="A8" s="31" t="s">
        <v>19</v>
      </c>
      <c r="B8" s="209"/>
      <c r="C8" s="20">
        <v>0</v>
      </c>
      <c r="D8" s="21"/>
      <c r="E8" s="22"/>
      <c r="F8" s="21"/>
      <c r="G8" s="21"/>
      <c r="H8" s="21"/>
      <c r="I8" s="21"/>
      <c r="J8" s="21"/>
      <c r="K8" s="22">
        <f>SUM(C8:J8)</f>
        <v>0</v>
      </c>
      <c r="L8" s="23">
        <f>SUM(K8)</f>
        <v>0</v>
      </c>
    </row>
    <row r="9" spans="1:12" x14ac:dyDescent="0.25">
      <c r="A9" s="32" t="s">
        <v>2</v>
      </c>
      <c r="B9" s="210"/>
      <c r="C9" s="6"/>
      <c r="D9" s="19"/>
      <c r="E9" s="19"/>
      <c r="F9" s="19"/>
      <c r="G9" s="19"/>
      <c r="H9" s="19"/>
      <c r="I9" s="19"/>
      <c r="J9" s="19"/>
      <c r="K9" s="19">
        <v>0</v>
      </c>
      <c r="L9" s="23">
        <f>SUM(K9)</f>
        <v>0</v>
      </c>
    </row>
    <row r="10" spans="1:12" x14ac:dyDescent="0.25">
      <c r="A10" s="32" t="s">
        <v>3</v>
      </c>
      <c r="B10" s="210"/>
      <c r="C10" s="6"/>
      <c r="D10" s="19"/>
      <c r="E10" s="19"/>
      <c r="F10" s="19"/>
      <c r="G10" s="19"/>
      <c r="H10" s="19"/>
      <c r="I10" s="19"/>
      <c r="J10" s="19"/>
      <c r="K10" s="19">
        <v>0</v>
      </c>
      <c r="L10" s="23">
        <f>SUM(K10)</f>
        <v>0</v>
      </c>
    </row>
    <row r="11" spans="1:12" ht="27" thickBot="1" x14ac:dyDescent="0.3">
      <c r="A11" s="33" t="s">
        <v>20</v>
      </c>
      <c r="B11" s="211"/>
      <c r="C11" s="105">
        <f t="shared" ref="C11:K11" si="0">SUM(C7:C10)</f>
        <v>5172000</v>
      </c>
      <c r="D11" s="106">
        <f t="shared" si="0"/>
        <v>359000</v>
      </c>
      <c r="E11" s="106">
        <f t="shared" si="0"/>
        <v>800000</v>
      </c>
      <c r="F11" s="106">
        <f t="shared" si="0"/>
        <v>1200000</v>
      </c>
      <c r="G11" s="106">
        <f t="shared" si="0"/>
        <v>1500000</v>
      </c>
      <c r="H11" s="106">
        <f t="shared" si="0"/>
        <v>7000000</v>
      </c>
      <c r="I11" s="106">
        <f t="shared" si="0"/>
        <v>700000</v>
      </c>
      <c r="J11" s="106">
        <f t="shared" si="0"/>
        <v>900000</v>
      </c>
      <c r="K11" s="106">
        <f t="shared" si="0"/>
        <v>17631000</v>
      </c>
      <c r="L11" s="107">
        <f>L10+K11</f>
        <v>17631000</v>
      </c>
    </row>
    <row r="12" spans="1:12" ht="27" thickBot="1" x14ac:dyDescent="0.3">
      <c r="A12" s="46" t="s">
        <v>21</v>
      </c>
      <c r="B12" s="212"/>
      <c r="C12" s="47"/>
      <c r="D12" s="4"/>
      <c r="E12" s="4"/>
      <c r="F12" s="4"/>
      <c r="G12" s="34" t="s">
        <v>4</v>
      </c>
      <c r="H12" s="4"/>
      <c r="I12" s="4"/>
      <c r="J12" s="4"/>
      <c r="K12" s="4"/>
      <c r="L12" s="5"/>
    </row>
    <row r="13" spans="1:12" x14ac:dyDescent="0.25">
      <c r="A13" s="108" t="s">
        <v>79</v>
      </c>
      <c r="B13" s="129"/>
      <c r="C13" s="416">
        <v>250238</v>
      </c>
      <c r="D13" s="57"/>
      <c r="E13" s="57"/>
      <c r="F13" s="57"/>
      <c r="G13" s="57"/>
      <c r="H13" s="57"/>
      <c r="I13" s="57"/>
      <c r="J13" s="57"/>
      <c r="K13" s="68">
        <f>SUM(C13:J13)</f>
        <v>250238</v>
      </c>
      <c r="L13" s="67">
        <f>+K13</f>
        <v>250238</v>
      </c>
    </row>
    <row r="14" spans="1:12" x14ac:dyDescent="0.25">
      <c r="A14" s="89" t="s">
        <v>85</v>
      </c>
      <c r="B14" s="281"/>
      <c r="C14" s="417">
        <v>125000</v>
      </c>
      <c r="D14" s="70"/>
      <c r="E14" s="70"/>
      <c r="F14" s="70"/>
      <c r="G14" s="70"/>
      <c r="H14" s="70"/>
      <c r="I14" s="70"/>
      <c r="J14" s="401"/>
      <c r="K14" s="126">
        <f>SUM(C14:J14)</f>
        <v>125000</v>
      </c>
      <c r="L14" s="8">
        <f>+L13+K14</f>
        <v>375238</v>
      </c>
    </row>
    <row r="15" spans="1:12" x14ac:dyDescent="0.25">
      <c r="A15" s="108" t="s">
        <v>84</v>
      </c>
      <c r="B15" s="108"/>
      <c r="C15" s="418">
        <v>3109</v>
      </c>
      <c r="D15" s="8"/>
      <c r="E15" s="8"/>
      <c r="F15" s="8"/>
      <c r="G15" s="8"/>
      <c r="H15" s="8"/>
      <c r="I15" s="8"/>
      <c r="J15" s="150"/>
      <c r="K15" s="126">
        <f t="shared" ref="K15:K23" si="1">SUM(C15:J15)</f>
        <v>3109</v>
      </c>
      <c r="L15" s="8">
        <f>+L14+K15</f>
        <v>378347</v>
      </c>
    </row>
    <row r="16" spans="1:12" x14ac:dyDescent="0.25">
      <c r="A16" s="86" t="s">
        <v>103</v>
      </c>
      <c r="B16" s="153"/>
      <c r="C16" s="417">
        <v>13067</v>
      </c>
      <c r="D16" s="64"/>
      <c r="E16" s="64"/>
      <c r="F16" s="78"/>
      <c r="G16" s="64"/>
      <c r="H16" s="64"/>
      <c r="I16" s="64"/>
      <c r="J16" s="8"/>
      <c r="K16" s="402">
        <f t="shared" si="1"/>
        <v>13067</v>
      </c>
      <c r="L16" s="125">
        <f t="shared" ref="L16:L23" si="2">+L15+K16</f>
        <v>391414</v>
      </c>
    </row>
    <row r="17" spans="1:13" x14ac:dyDescent="0.25">
      <c r="A17" s="108" t="s">
        <v>108</v>
      </c>
      <c r="B17" s="108"/>
      <c r="C17" s="8"/>
      <c r="D17" s="418">
        <v>21630</v>
      </c>
      <c r="E17" s="8"/>
      <c r="F17" s="8"/>
      <c r="G17" s="8"/>
      <c r="H17" s="8"/>
      <c r="I17" s="8"/>
      <c r="J17" s="8"/>
      <c r="K17" s="126">
        <f t="shared" si="1"/>
        <v>21630</v>
      </c>
      <c r="L17" s="125">
        <f t="shared" si="2"/>
        <v>413044</v>
      </c>
    </row>
    <row r="18" spans="1:13" x14ac:dyDescent="0.25">
      <c r="A18" s="108" t="s">
        <v>113</v>
      </c>
      <c r="B18" s="129"/>
      <c r="C18" s="8"/>
      <c r="D18" s="8"/>
      <c r="E18" s="8"/>
      <c r="F18" s="8"/>
      <c r="G18" s="8"/>
      <c r="H18" s="418">
        <v>567660</v>
      </c>
      <c r="I18" s="8"/>
      <c r="J18" s="8"/>
      <c r="K18" s="126">
        <f t="shared" si="1"/>
        <v>567660</v>
      </c>
      <c r="L18" s="125">
        <f t="shared" si="2"/>
        <v>980704</v>
      </c>
    </row>
    <row r="19" spans="1:13" x14ac:dyDescent="0.25">
      <c r="A19" s="108" t="s">
        <v>118</v>
      </c>
      <c r="B19" s="153"/>
      <c r="C19" s="417">
        <v>250238</v>
      </c>
      <c r="D19" s="64"/>
      <c r="E19" s="64"/>
      <c r="F19" s="64"/>
      <c r="G19" s="64"/>
      <c r="H19" s="64"/>
      <c r="I19" s="64"/>
      <c r="J19" s="64"/>
      <c r="K19" s="126">
        <f t="shared" si="1"/>
        <v>250238</v>
      </c>
      <c r="L19" s="125">
        <f t="shared" si="2"/>
        <v>1230942</v>
      </c>
      <c r="M19" s="72"/>
    </row>
    <row r="20" spans="1:13" x14ac:dyDescent="0.25">
      <c r="A20" s="108" t="s">
        <v>131</v>
      </c>
      <c r="B20" s="153"/>
      <c r="C20" s="417">
        <v>125000</v>
      </c>
      <c r="D20" s="64"/>
      <c r="E20" s="64"/>
      <c r="F20" s="64"/>
      <c r="G20" s="64"/>
      <c r="H20" s="64"/>
      <c r="I20" s="64"/>
      <c r="J20" s="64"/>
      <c r="K20" s="126">
        <f t="shared" si="1"/>
        <v>125000</v>
      </c>
      <c r="L20" s="125">
        <f t="shared" si="2"/>
        <v>1355942</v>
      </c>
    </row>
    <row r="21" spans="1:13" x14ac:dyDescent="0.25">
      <c r="A21" s="108" t="s">
        <v>132</v>
      </c>
      <c r="B21" s="153"/>
      <c r="C21" s="417">
        <v>3109</v>
      </c>
      <c r="D21" s="64"/>
      <c r="E21" s="64"/>
      <c r="F21" s="64"/>
      <c r="G21" s="64"/>
      <c r="H21" s="64"/>
      <c r="I21" s="64"/>
      <c r="J21" s="64"/>
      <c r="K21" s="126">
        <f t="shared" si="1"/>
        <v>3109</v>
      </c>
      <c r="L21" s="125">
        <f t="shared" si="2"/>
        <v>1359051</v>
      </c>
    </row>
    <row r="22" spans="1:13" ht="20.25" customHeight="1" x14ac:dyDescent="0.25">
      <c r="A22" s="108" t="s">
        <v>155</v>
      </c>
      <c r="B22" s="153"/>
      <c r="C22" s="417">
        <v>13067</v>
      </c>
      <c r="D22" s="64"/>
      <c r="E22" s="64"/>
      <c r="F22" s="64"/>
      <c r="G22" s="64"/>
      <c r="H22" s="64"/>
      <c r="I22" s="64"/>
      <c r="J22" s="64"/>
      <c r="K22" s="126">
        <f t="shared" si="1"/>
        <v>13067</v>
      </c>
      <c r="L22" s="125">
        <f t="shared" si="2"/>
        <v>1372118</v>
      </c>
    </row>
    <row r="23" spans="1:13" ht="15.75" thickBot="1" x14ac:dyDescent="0.3">
      <c r="A23" s="108" t="s">
        <v>158</v>
      </c>
      <c r="B23" s="153"/>
      <c r="C23" s="64"/>
      <c r="D23" s="417">
        <v>21630</v>
      </c>
      <c r="E23" s="64"/>
      <c r="F23" s="64"/>
      <c r="G23" s="64"/>
      <c r="H23" s="64"/>
      <c r="I23" s="64"/>
      <c r="J23" s="64"/>
      <c r="K23" s="126">
        <f t="shared" si="1"/>
        <v>21630</v>
      </c>
      <c r="L23" s="125">
        <f t="shared" si="2"/>
        <v>1393748</v>
      </c>
    </row>
    <row r="24" spans="1:13" ht="15.75" thickBot="1" x14ac:dyDescent="0.3">
      <c r="A24" s="164" t="s">
        <v>0</v>
      </c>
      <c r="B24" s="172" t="s">
        <v>51</v>
      </c>
      <c r="C24" s="83">
        <f t="shared" ref="C24:K24" si="3">SUM(C13:C23)</f>
        <v>782828</v>
      </c>
      <c r="D24" s="83">
        <f t="shared" si="3"/>
        <v>43260</v>
      </c>
      <c r="E24" s="83">
        <f t="shared" si="3"/>
        <v>0</v>
      </c>
      <c r="F24" s="83">
        <f t="shared" si="3"/>
        <v>0</v>
      </c>
      <c r="G24" s="83">
        <f t="shared" si="3"/>
        <v>0</v>
      </c>
      <c r="H24" s="83">
        <f t="shared" si="3"/>
        <v>567660</v>
      </c>
      <c r="I24" s="83">
        <f t="shared" si="3"/>
        <v>0</v>
      </c>
      <c r="J24" s="83">
        <f t="shared" si="3"/>
        <v>0</v>
      </c>
      <c r="K24" s="83">
        <f t="shared" si="3"/>
        <v>1393748</v>
      </c>
      <c r="L24" s="149">
        <f>L23</f>
        <v>1393748</v>
      </c>
    </row>
    <row r="25" spans="1:13" x14ac:dyDescent="0.25">
      <c r="A25" t="s">
        <v>5</v>
      </c>
    </row>
    <row r="27" spans="1:13" x14ac:dyDescent="0.25">
      <c r="A27" s="98"/>
      <c r="B27" s="98"/>
      <c r="C27" s="327">
        <f t="shared" ref="C27:J27" si="4">+C11-C24</f>
        <v>4389172</v>
      </c>
      <c r="D27" s="327">
        <f t="shared" si="4"/>
        <v>315740</v>
      </c>
      <c r="E27" s="327">
        <f t="shared" si="4"/>
        <v>800000</v>
      </c>
      <c r="F27" s="327">
        <f t="shared" si="4"/>
        <v>1200000</v>
      </c>
      <c r="G27" s="327">
        <f t="shared" si="4"/>
        <v>1500000</v>
      </c>
      <c r="H27" s="327">
        <f t="shared" si="4"/>
        <v>6432340</v>
      </c>
      <c r="I27" s="327">
        <f t="shared" si="4"/>
        <v>700000</v>
      </c>
      <c r="J27" s="327">
        <f t="shared" si="4"/>
        <v>900000</v>
      </c>
      <c r="K27" s="327"/>
      <c r="L27" s="327">
        <f>+L11-L24</f>
        <v>16237252</v>
      </c>
    </row>
    <row r="28" spans="1:13" ht="21.75" customHeight="1" x14ac:dyDescent="0.25">
      <c r="A28" s="146"/>
      <c r="B28" s="146"/>
      <c r="C28" s="344"/>
      <c r="D28" s="344"/>
      <c r="E28" s="344"/>
      <c r="F28" s="344"/>
      <c r="G28" s="344"/>
      <c r="H28" s="344"/>
      <c r="I28" s="344"/>
      <c r="J28" s="344"/>
      <c r="K28" s="344"/>
      <c r="L28" s="344"/>
    </row>
    <row r="30" spans="1:13" x14ac:dyDescent="0.25">
      <c r="A30" t="s">
        <v>9</v>
      </c>
      <c r="E30" t="s">
        <v>50</v>
      </c>
      <c r="I30" t="s">
        <v>14</v>
      </c>
    </row>
    <row r="31" spans="1:13" x14ac:dyDescent="0.25">
      <c r="A31" t="s">
        <v>44</v>
      </c>
    </row>
    <row r="32" spans="1:13" x14ac:dyDescent="0.25">
      <c r="E32" t="s">
        <v>13</v>
      </c>
      <c r="F32" s="13">
        <v>6000</v>
      </c>
      <c r="I32" t="s">
        <v>75</v>
      </c>
    </row>
    <row r="33" spans="1:12" x14ac:dyDescent="0.25">
      <c r="E33" t="s">
        <v>6</v>
      </c>
      <c r="F33" s="13" t="s">
        <v>7</v>
      </c>
    </row>
    <row r="34" spans="1:12" ht="15.75" thickBot="1" x14ac:dyDescent="0.3"/>
    <row r="35" spans="1:12" ht="30.75" thickBot="1" x14ac:dyDescent="0.3">
      <c r="A35" s="75" t="s">
        <v>42</v>
      </c>
      <c r="B35" s="165"/>
      <c r="C35" s="45">
        <v>1</v>
      </c>
      <c r="D35" s="45">
        <v>2</v>
      </c>
      <c r="E35" s="45">
        <v>3</v>
      </c>
      <c r="F35" s="45">
        <v>4</v>
      </c>
      <c r="G35" s="45">
        <v>5</v>
      </c>
      <c r="H35" s="45">
        <v>6</v>
      </c>
      <c r="I35" s="45">
        <v>7</v>
      </c>
      <c r="J35" s="45"/>
      <c r="K35" s="51" t="s">
        <v>16</v>
      </c>
      <c r="L35" s="40" t="s">
        <v>17</v>
      </c>
    </row>
    <row r="36" spans="1:12" x14ac:dyDescent="0.25">
      <c r="A36" s="76" t="s">
        <v>43</v>
      </c>
      <c r="B36" s="166"/>
      <c r="C36" s="35">
        <f t="shared" ref="C36:L36" si="5">C24</f>
        <v>782828</v>
      </c>
      <c r="D36" s="35">
        <f t="shared" si="5"/>
        <v>43260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567660</v>
      </c>
      <c r="I36" s="35">
        <f t="shared" si="5"/>
        <v>0</v>
      </c>
      <c r="J36" s="35">
        <f t="shared" si="5"/>
        <v>0</v>
      </c>
      <c r="K36" s="35">
        <f t="shared" si="5"/>
        <v>1393748</v>
      </c>
      <c r="L36" s="35">
        <f t="shared" si="5"/>
        <v>1393748</v>
      </c>
    </row>
    <row r="37" spans="1:12" ht="18.75" customHeight="1" x14ac:dyDescent="0.25">
      <c r="A37" s="108" t="s">
        <v>161</v>
      </c>
      <c r="B37" s="153"/>
      <c r="C37" s="64"/>
      <c r="D37" s="64"/>
      <c r="E37" s="64"/>
      <c r="F37" s="64"/>
      <c r="G37" s="64"/>
      <c r="H37" s="64">
        <v>571888</v>
      </c>
      <c r="I37" s="64"/>
      <c r="J37" s="64"/>
      <c r="K37" s="439">
        <f>SUM(C37:J37)</f>
        <v>571888</v>
      </c>
      <c r="L37" s="65">
        <f t="shared" ref="L37:L44" si="6">+L36+K37</f>
        <v>1965636</v>
      </c>
    </row>
    <row r="38" spans="1:12" ht="17.25" customHeight="1" x14ac:dyDescent="0.25">
      <c r="A38" s="108" t="s">
        <v>170</v>
      </c>
      <c r="B38" s="108"/>
      <c r="C38" s="8">
        <v>159530</v>
      </c>
      <c r="D38" s="8"/>
      <c r="E38" s="8"/>
      <c r="F38" s="8"/>
      <c r="G38" s="8"/>
      <c r="H38" s="8"/>
      <c r="I38" s="8"/>
      <c r="J38" s="8"/>
      <c r="K38" s="439">
        <f t="shared" ref="K38:K44" si="7">SUM(C38:J38)</f>
        <v>159530</v>
      </c>
      <c r="L38" s="8">
        <f t="shared" si="6"/>
        <v>2125166</v>
      </c>
    </row>
    <row r="39" spans="1:12" x14ac:dyDescent="0.25">
      <c r="A39" s="89" t="s">
        <v>171</v>
      </c>
      <c r="B39" s="281"/>
      <c r="C39" s="64">
        <v>90708</v>
      </c>
      <c r="D39" s="64"/>
      <c r="E39" s="64"/>
      <c r="F39" s="64"/>
      <c r="G39" s="64"/>
      <c r="H39" s="64"/>
      <c r="I39" s="64"/>
      <c r="J39" s="64"/>
      <c r="K39" s="439">
        <f t="shared" si="7"/>
        <v>90708</v>
      </c>
      <c r="L39" s="65">
        <f t="shared" si="6"/>
        <v>2215874</v>
      </c>
    </row>
    <row r="40" spans="1:12" x14ac:dyDescent="0.25">
      <c r="A40" s="158" t="s">
        <v>210</v>
      </c>
      <c r="B40" s="158"/>
      <c r="C40" s="8">
        <v>75000</v>
      </c>
      <c r="D40" s="8"/>
      <c r="E40" s="8"/>
      <c r="F40" s="8"/>
      <c r="G40" s="8"/>
      <c r="H40" s="8"/>
      <c r="I40" s="8"/>
      <c r="J40" s="8"/>
      <c r="K40" s="439">
        <f t="shared" si="7"/>
        <v>75000</v>
      </c>
      <c r="L40" s="65">
        <f t="shared" si="6"/>
        <v>2290874</v>
      </c>
    </row>
    <row r="41" spans="1:12" x14ac:dyDescent="0.25">
      <c r="A41" s="88" t="s">
        <v>211</v>
      </c>
      <c r="B41" s="129"/>
      <c r="C41" s="8">
        <v>50000</v>
      </c>
      <c r="D41" s="8"/>
      <c r="E41" s="8"/>
      <c r="F41" s="8"/>
      <c r="G41" s="8"/>
      <c r="H41" s="8"/>
      <c r="I41" s="8"/>
      <c r="J41" s="8"/>
      <c r="K41" s="439">
        <f t="shared" si="7"/>
        <v>50000</v>
      </c>
      <c r="L41" s="65">
        <f t="shared" si="6"/>
        <v>2340874</v>
      </c>
    </row>
    <row r="42" spans="1:12" x14ac:dyDescent="0.25">
      <c r="A42" s="88" t="s">
        <v>212</v>
      </c>
      <c r="B42" s="129"/>
      <c r="C42" s="8">
        <v>3109</v>
      </c>
      <c r="D42" s="8"/>
      <c r="E42" s="8"/>
      <c r="F42" s="8"/>
      <c r="G42" s="8"/>
      <c r="H42" s="8"/>
      <c r="I42" s="8"/>
      <c r="J42" s="8"/>
      <c r="K42" s="439">
        <f t="shared" si="7"/>
        <v>3109</v>
      </c>
      <c r="L42" s="65">
        <f t="shared" si="6"/>
        <v>2343983</v>
      </c>
    </row>
    <row r="43" spans="1:12" x14ac:dyDescent="0.25">
      <c r="A43" s="62" t="s">
        <v>218</v>
      </c>
      <c r="B43" s="167"/>
      <c r="C43" s="8">
        <v>13067</v>
      </c>
      <c r="D43" s="8"/>
      <c r="E43" s="16"/>
      <c r="F43" s="16"/>
      <c r="G43" s="16"/>
      <c r="H43" s="16"/>
      <c r="I43" s="16"/>
      <c r="J43" s="16"/>
      <c r="K43" s="439">
        <f t="shared" si="7"/>
        <v>13067</v>
      </c>
      <c r="L43" s="65">
        <f t="shared" si="6"/>
        <v>2357050</v>
      </c>
    </row>
    <row r="44" spans="1:12" ht="15.75" thickBot="1" x14ac:dyDescent="0.3">
      <c r="A44" s="73" t="s">
        <v>224</v>
      </c>
      <c r="B44" s="192"/>
      <c r="C44" s="10"/>
      <c r="D44" s="10">
        <v>21630</v>
      </c>
      <c r="E44" s="3"/>
      <c r="F44" s="3"/>
      <c r="G44" s="3"/>
      <c r="H44" s="3"/>
      <c r="I44" s="3"/>
      <c r="J44" s="3"/>
      <c r="K44" s="454">
        <f t="shared" si="7"/>
        <v>21630</v>
      </c>
      <c r="L44" s="11">
        <f t="shared" si="6"/>
        <v>2378680</v>
      </c>
    </row>
    <row r="45" spans="1:12" x14ac:dyDescent="0.25">
      <c r="A45" s="79" t="s">
        <v>370</v>
      </c>
      <c r="B45" s="190"/>
      <c r="C45" s="80">
        <f>SUM(C36:C44)</f>
        <v>1174242</v>
      </c>
      <c r="D45" s="80">
        <f t="shared" ref="D45:J45" si="8">SUM(D36:D44)</f>
        <v>64890</v>
      </c>
      <c r="E45" s="80">
        <f t="shared" si="8"/>
        <v>0</v>
      </c>
      <c r="F45" s="80">
        <f t="shared" si="8"/>
        <v>0</v>
      </c>
      <c r="G45" s="80">
        <f t="shared" si="8"/>
        <v>0</v>
      </c>
      <c r="H45" s="80">
        <f t="shared" si="8"/>
        <v>1139548</v>
      </c>
      <c r="I45" s="80">
        <f t="shared" si="8"/>
        <v>0</v>
      </c>
      <c r="J45" s="80">
        <f t="shared" si="8"/>
        <v>0</v>
      </c>
      <c r="K45" s="80">
        <f>SUM(K37:K44)</f>
        <v>984932</v>
      </c>
      <c r="L45" s="82">
        <f>+L44</f>
        <v>2378680</v>
      </c>
    </row>
    <row r="46" spans="1:12" ht="18" customHeight="1" x14ac:dyDescent="0.25">
      <c r="A46" s="62" t="s">
        <v>230</v>
      </c>
      <c r="B46" s="167"/>
      <c r="C46" s="8"/>
      <c r="D46" s="8"/>
      <c r="E46" s="16"/>
      <c r="F46" s="16"/>
      <c r="G46" s="16"/>
      <c r="H46" s="8">
        <v>585049</v>
      </c>
      <c r="I46" s="16"/>
      <c r="J46" s="16"/>
      <c r="K46" s="364">
        <f>SUM(C46:J46)</f>
        <v>585049</v>
      </c>
      <c r="L46" s="9">
        <f>L45+K46</f>
        <v>2963729</v>
      </c>
    </row>
    <row r="47" spans="1:12" x14ac:dyDescent="0.25">
      <c r="A47" s="62" t="s">
        <v>231</v>
      </c>
      <c r="B47" s="167"/>
      <c r="C47" s="8"/>
      <c r="D47" s="8"/>
      <c r="E47" s="16"/>
      <c r="F47" s="16"/>
      <c r="G47" s="16"/>
      <c r="H47" s="8">
        <v>496960</v>
      </c>
      <c r="I47" s="16"/>
      <c r="J47" s="16"/>
      <c r="K47" s="364">
        <f t="shared" ref="K47:K56" si="9">SUM(C47:J47)</f>
        <v>496960</v>
      </c>
      <c r="L47" s="9">
        <f t="shared" ref="L47:L56" si="10">L46+K47</f>
        <v>3460689</v>
      </c>
    </row>
    <row r="48" spans="1:12" x14ac:dyDescent="0.25">
      <c r="A48" s="61" t="s">
        <v>240</v>
      </c>
      <c r="B48" s="168"/>
      <c r="C48" s="8">
        <v>159530</v>
      </c>
      <c r="D48" s="8"/>
      <c r="E48" s="8"/>
      <c r="F48" s="8"/>
      <c r="G48" s="163"/>
      <c r="H48" s="8"/>
      <c r="I48" s="8"/>
      <c r="J48" s="8"/>
      <c r="K48" s="364">
        <f t="shared" si="9"/>
        <v>159530</v>
      </c>
      <c r="L48" s="9">
        <f t="shared" si="10"/>
        <v>3620219</v>
      </c>
    </row>
    <row r="49" spans="1:12" x14ac:dyDescent="0.25">
      <c r="A49" s="69" t="s">
        <v>241</v>
      </c>
      <c r="B49" s="170"/>
      <c r="C49" s="64">
        <v>90708</v>
      </c>
      <c r="D49" s="64"/>
      <c r="E49" s="70"/>
      <c r="F49" s="70"/>
      <c r="G49" s="70"/>
      <c r="H49" s="70"/>
      <c r="I49" s="162"/>
      <c r="J49" s="70"/>
      <c r="K49" s="364">
        <f t="shared" si="9"/>
        <v>90708</v>
      </c>
      <c r="L49" s="9">
        <f t="shared" si="10"/>
        <v>3710927</v>
      </c>
    </row>
    <row r="50" spans="1:12" x14ac:dyDescent="0.25">
      <c r="A50" s="62" t="s">
        <v>280</v>
      </c>
      <c r="B50" s="167"/>
      <c r="C50" s="8">
        <v>75000</v>
      </c>
      <c r="D50" s="16"/>
      <c r="E50" s="8"/>
      <c r="F50" s="16"/>
      <c r="G50" s="16"/>
      <c r="H50" s="16"/>
      <c r="I50" s="16"/>
      <c r="J50" s="16"/>
      <c r="K50" s="364">
        <f t="shared" si="9"/>
        <v>75000</v>
      </c>
      <c r="L50" s="9">
        <f t="shared" si="10"/>
        <v>3785927</v>
      </c>
    </row>
    <row r="51" spans="1:12" x14ac:dyDescent="0.25">
      <c r="A51" s="62" t="s">
        <v>281</v>
      </c>
      <c r="B51" s="167"/>
      <c r="C51" s="8">
        <v>50000</v>
      </c>
      <c r="D51" s="8"/>
      <c r="E51" s="16"/>
      <c r="F51" s="163"/>
      <c r="G51" s="16"/>
      <c r="H51" s="16"/>
      <c r="I51" s="16"/>
      <c r="J51" s="16"/>
      <c r="K51" s="364">
        <f t="shared" si="9"/>
        <v>50000</v>
      </c>
      <c r="L51" s="9">
        <f t="shared" si="10"/>
        <v>3835927</v>
      </c>
    </row>
    <row r="52" spans="1:12" x14ac:dyDescent="0.25">
      <c r="A52" s="173" t="s">
        <v>282</v>
      </c>
      <c r="B52" s="174"/>
      <c r="C52" s="175">
        <v>3109</v>
      </c>
      <c r="D52" s="175"/>
      <c r="E52" s="175"/>
      <c r="F52" s="175"/>
      <c r="G52" s="175"/>
      <c r="H52" s="175"/>
      <c r="I52" s="175"/>
      <c r="J52" s="175"/>
      <c r="K52" s="364">
        <f t="shared" si="9"/>
        <v>3109</v>
      </c>
      <c r="L52" s="9">
        <f t="shared" si="10"/>
        <v>3839036</v>
      </c>
    </row>
    <row r="53" spans="1:12" x14ac:dyDescent="0.25">
      <c r="A53" s="173" t="s">
        <v>288</v>
      </c>
      <c r="B53" s="174"/>
      <c r="C53" s="175">
        <v>13067</v>
      </c>
      <c r="D53" s="175"/>
      <c r="E53" s="175"/>
      <c r="F53" s="175"/>
      <c r="G53" s="175"/>
      <c r="H53" s="175"/>
      <c r="I53" s="175"/>
      <c r="J53" s="175"/>
      <c r="K53" s="364">
        <f t="shared" si="9"/>
        <v>13067</v>
      </c>
      <c r="L53" s="9">
        <f t="shared" si="10"/>
        <v>3852103</v>
      </c>
    </row>
    <row r="54" spans="1:12" x14ac:dyDescent="0.25">
      <c r="A54" s="438" t="s">
        <v>294</v>
      </c>
      <c r="B54" s="438"/>
      <c r="C54" s="176"/>
      <c r="D54" s="176">
        <v>21630</v>
      </c>
      <c r="E54" s="176"/>
      <c r="F54" s="176"/>
      <c r="G54" s="176"/>
      <c r="H54" s="176"/>
      <c r="I54" s="176"/>
      <c r="J54" s="176"/>
      <c r="K54" s="364">
        <f t="shared" si="9"/>
        <v>21630</v>
      </c>
      <c r="L54" s="9">
        <f t="shared" si="10"/>
        <v>3873733</v>
      </c>
    </row>
    <row r="55" spans="1:12" x14ac:dyDescent="0.25">
      <c r="A55" s="438" t="s">
        <v>300</v>
      </c>
      <c r="B55" s="438"/>
      <c r="C55" s="176"/>
      <c r="D55" s="176"/>
      <c r="E55" s="176"/>
      <c r="F55" s="176"/>
      <c r="G55" s="176"/>
      <c r="H55" s="176">
        <v>584526</v>
      </c>
      <c r="I55" s="176"/>
      <c r="J55" s="176"/>
      <c r="K55" s="364">
        <f t="shared" si="9"/>
        <v>584526</v>
      </c>
      <c r="L55" s="9">
        <f t="shared" si="10"/>
        <v>4458259</v>
      </c>
    </row>
    <row r="56" spans="1:12" ht="15.75" thickBot="1" x14ac:dyDescent="0.3">
      <c r="A56" s="431" t="s">
        <v>301</v>
      </c>
      <c r="B56" s="142"/>
      <c r="C56" s="10"/>
      <c r="D56" s="10"/>
      <c r="E56" s="10"/>
      <c r="F56" s="10"/>
      <c r="G56" s="10"/>
      <c r="H56" s="10">
        <v>591450</v>
      </c>
      <c r="I56" s="10"/>
      <c r="J56" s="10"/>
      <c r="K56" s="440">
        <f t="shared" si="9"/>
        <v>591450</v>
      </c>
      <c r="L56" s="11">
        <f t="shared" si="10"/>
        <v>5049709</v>
      </c>
    </row>
    <row r="57" spans="1:12" x14ac:dyDescent="0.25">
      <c r="A57" s="109" t="s">
        <v>59</v>
      </c>
      <c r="B57" s="275"/>
      <c r="C57" s="80">
        <f>SUM(C45:C56)</f>
        <v>1565656</v>
      </c>
      <c r="D57" s="80">
        <f t="shared" ref="D57:J57" si="11">SUM(D45:D56)</f>
        <v>86520</v>
      </c>
      <c r="E57" s="80">
        <f t="shared" si="11"/>
        <v>0</v>
      </c>
      <c r="F57" s="80">
        <f t="shared" si="11"/>
        <v>0</v>
      </c>
      <c r="G57" s="80">
        <f t="shared" si="11"/>
        <v>0</v>
      </c>
      <c r="H57" s="80">
        <f t="shared" si="11"/>
        <v>3397533</v>
      </c>
      <c r="I57" s="80">
        <f t="shared" si="11"/>
        <v>0</v>
      </c>
      <c r="J57" s="80">
        <f t="shared" si="11"/>
        <v>0</v>
      </c>
      <c r="K57" s="441">
        <f>SUM(K46:K56)</f>
        <v>2671029</v>
      </c>
      <c r="L57" s="12">
        <f>+L56</f>
        <v>5049709</v>
      </c>
    </row>
    <row r="58" spans="1:12" ht="15.75" thickBot="1" x14ac:dyDescent="0.3">
      <c r="A58" s="62" t="s">
        <v>302</v>
      </c>
      <c r="B58" s="167"/>
      <c r="C58" s="8"/>
      <c r="D58" s="8"/>
      <c r="E58" s="8"/>
      <c r="F58" s="8"/>
      <c r="G58" s="8"/>
      <c r="H58" s="8">
        <v>533243</v>
      </c>
      <c r="I58" s="8"/>
      <c r="J58" s="64"/>
      <c r="K58" s="364">
        <f>SUM(C58:J58)</f>
        <v>533243</v>
      </c>
      <c r="L58" s="437">
        <f>L57+K58</f>
        <v>5582952</v>
      </c>
    </row>
    <row r="59" spans="1:12" ht="15.75" thickBot="1" x14ac:dyDescent="0.3">
      <c r="A59" s="164" t="s">
        <v>61</v>
      </c>
      <c r="B59" s="172"/>
      <c r="C59" s="83">
        <f>SUM(C57:C58)</f>
        <v>1565656</v>
      </c>
      <c r="D59" s="83">
        <f t="shared" ref="D59:J59" si="12">SUM(D57:D58)</f>
        <v>86520</v>
      </c>
      <c r="E59" s="83">
        <f t="shared" si="12"/>
        <v>0</v>
      </c>
      <c r="F59" s="83">
        <f t="shared" si="12"/>
        <v>0</v>
      </c>
      <c r="G59" s="83">
        <f t="shared" si="12"/>
        <v>0</v>
      </c>
      <c r="H59" s="83">
        <f t="shared" si="12"/>
        <v>3930776</v>
      </c>
      <c r="I59" s="83">
        <f t="shared" si="12"/>
        <v>0</v>
      </c>
      <c r="J59" s="83">
        <f t="shared" si="12"/>
        <v>0</v>
      </c>
      <c r="K59" s="83">
        <f>SUM(K58)</f>
        <v>533243</v>
      </c>
      <c r="L59" s="149">
        <f>L58</f>
        <v>5582952</v>
      </c>
    </row>
    <row r="60" spans="1:12" x14ac:dyDescent="0.25">
      <c r="A60" t="s">
        <v>5</v>
      </c>
    </row>
    <row r="62" spans="1:12" x14ac:dyDescent="0.25">
      <c r="A62" s="98" t="s">
        <v>67</v>
      </c>
      <c r="B62" s="98"/>
      <c r="C62" s="327">
        <f t="shared" ref="C62:J62" si="13">+C11-C59</f>
        <v>3606344</v>
      </c>
      <c r="D62" s="327">
        <f t="shared" si="13"/>
        <v>272480</v>
      </c>
      <c r="E62" s="327">
        <f t="shared" si="13"/>
        <v>800000</v>
      </c>
      <c r="F62" s="327">
        <f t="shared" si="13"/>
        <v>1200000</v>
      </c>
      <c r="G62" s="327">
        <f t="shared" si="13"/>
        <v>1500000</v>
      </c>
      <c r="H62" s="327">
        <f t="shared" si="13"/>
        <v>3069224</v>
      </c>
      <c r="I62" s="327">
        <f t="shared" si="13"/>
        <v>700000</v>
      </c>
      <c r="J62" s="327">
        <f t="shared" si="13"/>
        <v>900000</v>
      </c>
      <c r="K62" s="327"/>
      <c r="L62" s="327">
        <f>+L11-L59</f>
        <v>12048048</v>
      </c>
    </row>
    <row r="63" spans="1:12" x14ac:dyDescent="0.25">
      <c r="A63" t="s">
        <v>9</v>
      </c>
      <c r="E63" t="s">
        <v>50</v>
      </c>
      <c r="I63" t="s">
        <v>45</v>
      </c>
    </row>
    <row r="64" spans="1:12" x14ac:dyDescent="0.25">
      <c r="A64" t="s">
        <v>44</v>
      </c>
    </row>
    <row r="65" spans="1:12" x14ac:dyDescent="0.25">
      <c r="E65" t="s">
        <v>13</v>
      </c>
      <c r="F65" s="13">
        <v>6000</v>
      </c>
      <c r="I65" t="s">
        <v>75</v>
      </c>
    </row>
    <row r="66" spans="1:12" x14ac:dyDescent="0.25">
      <c r="E66" t="s">
        <v>6</v>
      </c>
      <c r="F66" s="13" t="s">
        <v>7</v>
      </c>
    </row>
    <row r="67" spans="1:12" ht="15.75" thickBot="1" x14ac:dyDescent="0.3"/>
    <row r="68" spans="1:12" ht="30.75" thickBot="1" x14ac:dyDescent="0.3">
      <c r="A68" s="75" t="s">
        <v>42</v>
      </c>
      <c r="B68" s="165"/>
      <c r="C68" s="45">
        <v>1</v>
      </c>
      <c r="D68" s="45">
        <v>2</v>
      </c>
      <c r="E68" s="45">
        <v>3</v>
      </c>
      <c r="F68" s="45">
        <v>4</v>
      </c>
      <c r="G68" s="45">
        <v>5</v>
      </c>
      <c r="H68" s="45">
        <v>6</v>
      </c>
      <c r="I68" s="45">
        <v>7</v>
      </c>
      <c r="J68" s="45">
        <v>8</v>
      </c>
      <c r="K68" s="51" t="s">
        <v>16</v>
      </c>
      <c r="L68" s="40" t="s">
        <v>17</v>
      </c>
    </row>
    <row r="69" spans="1:12" x14ac:dyDescent="0.25">
      <c r="A69" s="76" t="s">
        <v>43</v>
      </c>
      <c r="B69" s="166"/>
      <c r="C69" s="35">
        <f t="shared" ref="C69:I69" si="14">C59</f>
        <v>1565656</v>
      </c>
      <c r="D69" s="35">
        <f t="shared" si="14"/>
        <v>86520</v>
      </c>
      <c r="E69" s="35">
        <f t="shared" si="14"/>
        <v>0</v>
      </c>
      <c r="F69" s="35">
        <f t="shared" si="14"/>
        <v>0</v>
      </c>
      <c r="G69" s="35">
        <f t="shared" si="14"/>
        <v>0</v>
      </c>
      <c r="H69" s="35">
        <f t="shared" si="14"/>
        <v>3930776</v>
      </c>
      <c r="I69" s="35">
        <f t="shared" si="14"/>
        <v>0</v>
      </c>
      <c r="J69" s="35"/>
      <c r="K69" s="35">
        <f>K59</f>
        <v>533243</v>
      </c>
      <c r="L69" s="12">
        <f>L59</f>
        <v>5582952</v>
      </c>
    </row>
    <row r="70" spans="1:12" x14ac:dyDescent="0.25">
      <c r="A70" s="62" t="s">
        <v>311</v>
      </c>
      <c r="B70" s="167"/>
      <c r="C70" s="8">
        <v>159530</v>
      </c>
      <c r="D70" s="8"/>
      <c r="E70" s="16"/>
      <c r="F70" s="16"/>
      <c r="G70" s="16"/>
      <c r="H70" s="16"/>
      <c r="I70" s="16"/>
      <c r="J70" s="70"/>
      <c r="K70" s="154">
        <f t="shared" ref="K70:K76" si="15">SUM(C70:I70)</f>
        <v>159530</v>
      </c>
      <c r="L70" s="9">
        <f>L69+K70</f>
        <v>5742482</v>
      </c>
    </row>
    <row r="71" spans="1:12" x14ac:dyDescent="0.25">
      <c r="A71" s="62" t="s">
        <v>312</v>
      </c>
      <c r="B71" s="167"/>
      <c r="C71" s="8">
        <v>90708</v>
      </c>
      <c r="D71" s="8"/>
      <c r="E71" s="16"/>
      <c r="F71" s="16"/>
      <c r="G71" s="16"/>
      <c r="H71" s="16"/>
      <c r="I71" s="16"/>
      <c r="J71" s="70"/>
      <c r="K71" s="154">
        <f t="shared" si="15"/>
        <v>90708</v>
      </c>
      <c r="L71" s="9">
        <f t="shared" ref="L71:L76" si="16">L70+K71</f>
        <v>5833190</v>
      </c>
    </row>
    <row r="72" spans="1:12" x14ac:dyDescent="0.25">
      <c r="A72" s="62" t="s">
        <v>349</v>
      </c>
      <c r="B72" s="167"/>
      <c r="C72" s="8">
        <v>75000</v>
      </c>
      <c r="D72" s="8"/>
      <c r="E72" s="16"/>
      <c r="F72" s="16"/>
      <c r="G72" s="16"/>
      <c r="H72" s="16"/>
      <c r="I72" s="16"/>
      <c r="J72" s="70"/>
      <c r="K72" s="154">
        <f t="shared" si="15"/>
        <v>75000</v>
      </c>
      <c r="L72" s="9">
        <f t="shared" si="16"/>
        <v>5908190</v>
      </c>
    </row>
    <row r="73" spans="1:12" x14ac:dyDescent="0.25">
      <c r="A73" s="61" t="s">
        <v>350</v>
      </c>
      <c r="B73" s="168"/>
      <c r="C73" s="8">
        <v>50000</v>
      </c>
      <c r="D73" s="8"/>
      <c r="E73" s="8"/>
      <c r="F73" s="8"/>
      <c r="G73" s="8"/>
      <c r="H73" s="8"/>
      <c r="I73" s="8"/>
      <c r="J73" s="64"/>
      <c r="K73" s="154">
        <f t="shared" si="15"/>
        <v>50000</v>
      </c>
      <c r="L73" s="9">
        <f t="shared" si="16"/>
        <v>5958190</v>
      </c>
    </row>
    <row r="74" spans="1:12" x14ac:dyDescent="0.25">
      <c r="A74" s="61" t="s">
        <v>351</v>
      </c>
      <c r="B74" s="168"/>
      <c r="C74" s="8">
        <v>3109</v>
      </c>
      <c r="D74" s="8"/>
      <c r="E74" s="8"/>
      <c r="F74" s="8"/>
      <c r="G74" s="8"/>
      <c r="H74" s="8"/>
      <c r="I74" s="8"/>
      <c r="J74" s="8"/>
      <c r="K74" s="154">
        <f t="shared" si="15"/>
        <v>3109</v>
      </c>
      <c r="L74" s="9">
        <f t="shared" si="16"/>
        <v>5961299</v>
      </c>
    </row>
    <row r="75" spans="1:12" x14ac:dyDescent="0.25">
      <c r="A75" s="443" t="s">
        <v>357</v>
      </c>
      <c r="B75" s="444"/>
      <c r="C75" s="386">
        <v>13067</v>
      </c>
      <c r="D75" s="386"/>
      <c r="E75" s="266"/>
      <c r="F75" s="266"/>
      <c r="G75" s="266"/>
      <c r="H75" s="266"/>
      <c r="I75" s="266"/>
      <c r="J75" s="266"/>
      <c r="K75" s="154">
        <f t="shared" si="15"/>
        <v>13067</v>
      </c>
      <c r="L75" s="9">
        <f t="shared" si="16"/>
        <v>5974366</v>
      </c>
    </row>
    <row r="76" spans="1:12" ht="15.75" thickBot="1" x14ac:dyDescent="0.3">
      <c r="A76" s="138" t="s">
        <v>363</v>
      </c>
      <c r="B76" s="189"/>
      <c r="C76" s="10"/>
      <c r="D76" s="10">
        <v>21630</v>
      </c>
      <c r="E76" s="10"/>
      <c r="F76" s="10"/>
      <c r="G76" s="10"/>
      <c r="H76" s="10"/>
      <c r="I76" s="10"/>
      <c r="J76" s="10"/>
      <c r="K76" s="136">
        <f t="shared" si="15"/>
        <v>21630</v>
      </c>
      <c r="L76" s="11">
        <f t="shared" si="16"/>
        <v>5995996</v>
      </c>
    </row>
    <row r="77" spans="1:12" x14ac:dyDescent="0.25">
      <c r="A77" s="204" t="s">
        <v>60</v>
      </c>
      <c r="B77" s="205"/>
      <c r="C77" s="124">
        <f>SUM(C69:C76)</f>
        <v>1957070</v>
      </c>
      <c r="D77" s="124">
        <f t="shared" ref="D77:J77" si="17">SUM(D69:D76)</f>
        <v>108150</v>
      </c>
      <c r="E77" s="124">
        <f t="shared" si="17"/>
        <v>0</v>
      </c>
      <c r="F77" s="124">
        <f t="shared" si="17"/>
        <v>0</v>
      </c>
      <c r="G77" s="124">
        <f t="shared" si="17"/>
        <v>0</v>
      </c>
      <c r="H77" s="124">
        <f t="shared" si="17"/>
        <v>3930776</v>
      </c>
      <c r="I77" s="124">
        <f t="shared" si="17"/>
        <v>0</v>
      </c>
      <c r="J77" s="124">
        <f t="shared" si="17"/>
        <v>0</v>
      </c>
      <c r="K77" s="285">
        <f>SUM(K69:K76)</f>
        <v>946287</v>
      </c>
      <c r="L77" s="82">
        <f>+L76</f>
        <v>5995996</v>
      </c>
    </row>
    <row r="78" spans="1:12" x14ac:dyDescent="0.25">
      <c r="A78" s="200" t="s">
        <v>379</v>
      </c>
      <c r="B78" s="436"/>
      <c r="C78" s="8">
        <v>159530</v>
      </c>
      <c r="D78" s="16"/>
      <c r="E78" s="16"/>
      <c r="F78" s="16"/>
      <c r="G78" s="16"/>
      <c r="H78" s="16"/>
      <c r="I78" s="16"/>
      <c r="J78" s="16"/>
      <c r="K78" s="126">
        <f>SUM(C78:J78)</f>
        <v>159530</v>
      </c>
      <c r="L78" s="125">
        <f>+L77+K78</f>
        <v>6155526</v>
      </c>
    </row>
    <row r="79" spans="1:12" x14ac:dyDescent="0.25">
      <c r="A79" s="200" t="s">
        <v>380</v>
      </c>
      <c r="B79" s="436"/>
      <c r="C79" s="8">
        <v>90708</v>
      </c>
      <c r="D79" s="16"/>
      <c r="E79" s="16"/>
      <c r="F79" s="16"/>
      <c r="G79" s="16"/>
      <c r="H79" s="16"/>
      <c r="I79" s="16"/>
      <c r="J79" s="16"/>
      <c r="K79" s="126">
        <f t="shared" ref="K79:K84" si="18">SUM(C79:J79)</f>
        <v>90708</v>
      </c>
      <c r="L79" s="125">
        <f t="shared" ref="L79:L84" si="19">+L78+K79</f>
        <v>6246234</v>
      </c>
    </row>
    <row r="80" spans="1:12" x14ac:dyDescent="0.25">
      <c r="A80" s="200" t="s">
        <v>417</v>
      </c>
      <c r="B80" s="436"/>
      <c r="C80" s="8">
        <v>75000</v>
      </c>
      <c r="D80" s="16"/>
      <c r="E80" s="16"/>
      <c r="F80" s="16"/>
      <c r="G80" s="16"/>
      <c r="H80" s="16"/>
      <c r="I80" s="16"/>
      <c r="J80" s="16"/>
      <c r="K80" s="126">
        <f t="shared" si="18"/>
        <v>75000</v>
      </c>
      <c r="L80" s="125">
        <f t="shared" si="19"/>
        <v>6321234</v>
      </c>
    </row>
    <row r="81" spans="1:12" x14ac:dyDescent="0.25">
      <c r="A81" s="200" t="s">
        <v>418</v>
      </c>
      <c r="B81" s="436"/>
      <c r="C81" s="8">
        <v>50000</v>
      </c>
      <c r="D81" s="16"/>
      <c r="E81" s="16"/>
      <c r="F81" s="16"/>
      <c r="G81" s="16"/>
      <c r="H81" s="16"/>
      <c r="I81" s="16"/>
      <c r="J81" s="16"/>
      <c r="K81" s="126">
        <f t="shared" si="18"/>
        <v>50000</v>
      </c>
      <c r="L81" s="125">
        <f t="shared" si="19"/>
        <v>6371234</v>
      </c>
    </row>
    <row r="82" spans="1:12" x14ac:dyDescent="0.25">
      <c r="A82" s="200" t="s">
        <v>419</v>
      </c>
      <c r="B82" s="436"/>
      <c r="C82" s="8">
        <v>3109</v>
      </c>
      <c r="D82" s="16"/>
      <c r="E82" s="16"/>
      <c r="F82" s="16"/>
      <c r="G82" s="16"/>
      <c r="H82" s="16"/>
      <c r="I82" s="16"/>
      <c r="J82" s="16"/>
      <c r="K82" s="126">
        <f t="shared" si="18"/>
        <v>3109</v>
      </c>
      <c r="L82" s="125">
        <f t="shared" si="19"/>
        <v>6374343</v>
      </c>
    </row>
    <row r="83" spans="1:12" x14ac:dyDescent="0.25">
      <c r="A83" s="200" t="s">
        <v>425</v>
      </c>
      <c r="B83" s="436"/>
      <c r="C83" s="8">
        <v>13067</v>
      </c>
      <c r="D83" s="16"/>
      <c r="E83" s="16"/>
      <c r="F83" s="16"/>
      <c r="G83" s="16"/>
      <c r="H83" s="16"/>
      <c r="I83" s="16"/>
      <c r="J83" s="16"/>
      <c r="K83" s="126">
        <f t="shared" si="18"/>
        <v>13067</v>
      </c>
      <c r="L83" s="125">
        <f t="shared" si="19"/>
        <v>6387410</v>
      </c>
    </row>
    <row r="84" spans="1:12" ht="15.75" thickBot="1" x14ac:dyDescent="0.3">
      <c r="A84" s="73" t="s">
        <v>431</v>
      </c>
      <c r="B84" s="445"/>
      <c r="C84" s="3"/>
      <c r="D84" s="10">
        <v>21630</v>
      </c>
      <c r="E84" s="10"/>
      <c r="F84" s="10"/>
      <c r="G84" s="3"/>
      <c r="H84" s="3"/>
      <c r="I84" s="3"/>
      <c r="J84" s="3"/>
      <c r="K84" s="136">
        <f t="shared" si="18"/>
        <v>21630</v>
      </c>
      <c r="L84" s="446">
        <f t="shared" si="19"/>
        <v>6409040</v>
      </c>
    </row>
    <row r="85" spans="1:12" x14ac:dyDescent="0.25">
      <c r="A85" s="204" t="s">
        <v>64</v>
      </c>
      <c r="B85" s="205"/>
      <c r="C85" s="124">
        <f>SUM(C77:C84)</f>
        <v>2348484</v>
      </c>
      <c r="D85" s="124">
        <f t="shared" ref="D85:K85" si="20">SUM(D77:D84)</f>
        <v>129780</v>
      </c>
      <c r="E85" s="124">
        <f t="shared" si="20"/>
        <v>0</v>
      </c>
      <c r="F85" s="124">
        <f t="shared" si="20"/>
        <v>0</v>
      </c>
      <c r="G85" s="124">
        <f t="shared" si="20"/>
        <v>0</v>
      </c>
      <c r="H85" s="124">
        <f t="shared" si="20"/>
        <v>3930776</v>
      </c>
      <c r="I85" s="124">
        <f t="shared" si="20"/>
        <v>0</v>
      </c>
      <c r="J85" s="124">
        <f t="shared" si="20"/>
        <v>0</v>
      </c>
      <c r="K85" s="124">
        <f t="shared" si="20"/>
        <v>1359331</v>
      </c>
      <c r="L85" s="125">
        <f>+L84</f>
        <v>6409040</v>
      </c>
    </row>
    <row r="86" spans="1:12" x14ac:dyDescent="0.25">
      <c r="A86" s="382" t="s">
        <v>446</v>
      </c>
      <c r="B86" s="442"/>
      <c r="C86" s="78">
        <v>159530</v>
      </c>
      <c r="D86" s="81"/>
      <c r="E86" s="81"/>
      <c r="F86" s="78"/>
      <c r="G86" s="78"/>
      <c r="H86" s="78"/>
      <c r="I86" s="78"/>
      <c r="J86" s="78"/>
      <c r="K86" s="126">
        <f t="shared" ref="K86:K91" si="21">SUM(C86:J86)</f>
        <v>159530</v>
      </c>
      <c r="L86" s="9">
        <f t="shared" ref="L86:L92" si="22">+L85+K86</f>
        <v>6568570</v>
      </c>
    </row>
    <row r="87" spans="1:12" x14ac:dyDescent="0.25">
      <c r="A87" s="63" t="s">
        <v>447</v>
      </c>
      <c r="B87" s="169"/>
      <c r="C87" s="64">
        <v>90708</v>
      </c>
      <c r="D87" s="64"/>
      <c r="E87" s="64"/>
      <c r="F87" s="64"/>
      <c r="G87" s="64"/>
      <c r="H87" s="64"/>
      <c r="I87" s="64"/>
      <c r="J87" s="64"/>
      <c r="K87" s="126">
        <f t="shared" si="21"/>
        <v>90708</v>
      </c>
      <c r="L87" s="9">
        <f t="shared" si="22"/>
        <v>6659278</v>
      </c>
    </row>
    <row r="88" spans="1:12" x14ac:dyDescent="0.25">
      <c r="A88" s="63" t="s">
        <v>484</v>
      </c>
      <c r="B88" s="169"/>
      <c r="C88" s="64">
        <v>3109</v>
      </c>
      <c r="D88" s="64"/>
      <c r="E88" s="64"/>
      <c r="F88" s="64"/>
      <c r="G88" s="64"/>
      <c r="H88" s="64"/>
      <c r="I88" s="64"/>
      <c r="J88" s="64"/>
      <c r="K88" s="126">
        <f t="shared" si="21"/>
        <v>3109</v>
      </c>
      <c r="L88" s="9">
        <f t="shared" si="22"/>
        <v>6662387</v>
      </c>
    </row>
    <row r="89" spans="1:12" x14ac:dyDescent="0.25">
      <c r="A89" s="63" t="s">
        <v>490</v>
      </c>
      <c r="B89" s="169"/>
      <c r="C89" s="64">
        <v>13067</v>
      </c>
      <c r="D89" s="64"/>
      <c r="E89" s="64"/>
      <c r="F89" s="64"/>
      <c r="G89" s="64"/>
      <c r="H89" s="64"/>
      <c r="I89" s="64"/>
      <c r="J89" s="64"/>
      <c r="K89" s="126">
        <f t="shared" si="21"/>
        <v>13067</v>
      </c>
      <c r="L89" s="9">
        <f t="shared" si="22"/>
        <v>6675454</v>
      </c>
    </row>
    <row r="90" spans="1:12" x14ac:dyDescent="0.25">
      <c r="A90" s="63" t="s">
        <v>496</v>
      </c>
      <c r="B90" s="169"/>
      <c r="C90" s="64"/>
      <c r="D90" s="64">
        <v>21630</v>
      </c>
      <c r="E90" s="64"/>
      <c r="F90" s="64"/>
      <c r="G90" s="64"/>
      <c r="H90" s="64"/>
      <c r="I90" s="64"/>
      <c r="J90" s="64"/>
      <c r="K90" s="126">
        <f t="shared" si="21"/>
        <v>21630</v>
      </c>
      <c r="L90" s="9">
        <f t="shared" si="22"/>
        <v>6697084</v>
      </c>
    </row>
    <row r="91" spans="1:12" x14ac:dyDescent="0.25">
      <c r="A91" s="69" t="s">
        <v>522</v>
      </c>
      <c r="B91" s="170"/>
      <c r="C91" s="64"/>
      <c r="D91" s="64"/>
      <c r="E91" s="64">
        <v>190400</v>
      </c>
      <c r="F91" s="64"/>
      <c r="G91" s="64"/>
      <c r="H91" s="64"/>
      <c r="I91" s="70"/>
      <c r="J91" s="70"/>
      <c r="K91" s="126">
        <f t="shared" si="21"/>
        <v>190400</v>
      </c>
      <c r="L91" s="9">
        <f t="shared" si="22"/>
        <v>6887484</v>
      </c>
    </row>
    <row r="92" spans="1:12" ht="15.75" thickBot="1" x14ac:dyDescent="0.3">
      <c r="A92" s="69" t="s">
        <v>528</v>
      </c>
      <c r="B92" s="170"/>
      <c r="C92" s="64"/>
      <c r="D92" s="64"/>
      <c r="E92" s="64">
        <v>285600</v>
      </c>
      <c r="F92" s="64"/>
      <c r="G92" s="64"/>
      <c r="H92" s="64"/>
      <c r="I92" s="70"/>
      <c r="J92" s="70"/>
      <c r="K92" s="154">
        <f>SUM(C92:I92)</f>
        <v>285600</v>
      </c>
      <c r="L92" s="9">
        <f t="shared" si="22"/>
        <v>7173084</v>
      </c>
    </row>
    <row r="93" spans="1:12" ht="15.75" thickBot="1" x14ac:dyDescent="0.3">
      <c r="A93" s="164" t="s">
        <v>442</v>
      </c>
      <c r="B93" s="172" t="s">
        <v>65</v>
      </c>
      <c r="C93" s="83">
        <f t="shared" ref="C93:J93" si="23">SUM(C85:C92)</f>
        <v>2614898</v>
      </c>
      <c r="D93" s="83">
        <f t="shared" si="23"/>
        <v>151410</v>
      </c>
      <c r="E93" s="83">
        <f t="shared" si="23"/>
        <v>476000</v>
      </c>
      <c r="F93" s="83">
        <f t="shared" si="23"/>
        <v>0</v>
      </c>
      <c r="G93" s="83">
        <f t="shared" si="23"/>
        <v>0</v>
      </c>
      <c r="H93" s="83">
        <f t="shared" si="23"/>
        <v>3930776</v>
      </c>
      <c r="I93" s="83">
        <f t="shared" si="23"/>
        <v>0</v>
      </c>
      <c r="J93" s="83">
        <f t="shared" si="23"/>
        <v>0</v>
      </c>
      <c r="K93" s="83">
        <f>SUM(K86:K92)</f>
        <v>764044</v>
      </c>
      <c r="L93" s="149">
        <f>L92</f>
        <v>7173084</v>
      </c>
    </row>
    <row r="94" spans="1:12" x14ac:dyDescent="0.25">
      <c r="A94" t="s">
        <v>5</v>
      </c>
    </row>
    <row r="95" spans="1:12" x14ac:dyDescent="0.25">
      <c r="A95" s="98"/>
      <c r="B95" s="98"/>
      <c r="C95" s="327">
        <f t="shared" ref="C95:J95" si="24">C11-C93</f>
        <v>2557102</v>
      </c>
      <c r="D95" s="327">
        <f t="shared" si="24"/>
        <v>207590</v>
      </c>
      <c r="E95" s="327">
        <f t="shared" si="24"/>
        <v>324000</v>
      </c>
      <c r="F95" s="327">
        <f t="shared" si="24"/>
        <v>1200000</v>
      </c>
      <c r="G95" s="327">
        <f t="shared" si="24"/>
        <v>1500000</v>
      </c>
      <c r="H95" s="327">
        <f t="shared" si="24"/>
        <v>3069224</v>
      </c>
      <c r="I95" s="327">
        <f t="shared" si="24"/>
        <v>700000</v>
      </c>
      <c r="J95" s="327">
        <f t="shared" si="24"/>
        <v>900000</v>
      </c>
      <c r="K95" s="98"/>
      <c r="L95" s="327">
        <f>SUM(C95:K95)</f>
        <v>10457916</v>
      </c>
    </row>
    <row r="96" spans="1:12" x14ac:dyDescent="0.25">
      <c r="A96" t="s">
        <v>9</v>
      </c>
      <c r="E96" t="s">
        <v>50</v>
      </c>
      <c r="I96" t="s">
        <v>45</v>
      </c>
    </row>
    <row r="97" spans="1:12" x14ac:dyDescent="0.25">
      <c r="A97" t="s">
        <v>44</v>
      </c>
    </row>
    <row r="98" spans="1:12" x14ac:dyDescent="0.25">
      <c r="E98" t="s">
        <v>13</v>
      </c>
      <c r="F98" s="13">
        <v>6000</v>
      </c>
      <c r="I98" t="s">
        <v>75</v>
      </c>
    </row>
    <row r="99" spans="1:12" x14ac:dyDescent="0.25">
      <c r="E99" t="s">
        <v>6</v>
      </c>
      <c r="F99" s="13" t="s">
        <v>7</v>
      </c>
    </row>
    <row r="100" spans="1:12" ht="15.75" thickBot="1" x14ac:dyDescent="0.3"/>
    <row r="101" spans="1:12" ht="30.75" thickBot="1" x14ac:dyDescent="0.3">
      <c r="A101" s="75" t="s">
        <v>42</v>
      </c>
      <c r="B101" s="165"/>
      <c r="C101" s="45">
        <v>1</v>
      </c>
      <c r="D101" s="45">
        <v>2</v>
      </c>
      <c r="E101" s="45">
        <v>3</v>
      </c>
      <c r="F101" s="45">
        <v>4</v>
      </c>
      <c r="G101" s="45">
        <v>5</v>
      </c>
      <c r="H101" s="45">
        <v>6</v>
      </c>
      <c r="I101" s="45">
        <v>7</v>
      </c>
      <c r="J101" s="45">
        <v>8</v>
      </c>
      <c r="K101" s="51" t="s">
        <v>16</v>
      </c>
      <c r="L101" s="40" t="s">
        <v>17</v>
      </c>
    </row>
    <row r="102" spans="1:12" x14ac:dyDescent="0.25">
      <c r="A102" s="76" t="s">
        <v>43</v>
      </c>
      <c r="B102" s="166"/>
      <c r="C102" s="35">
        <f t="shared" ref="C102:L102" si="25">C93</f>
        <v>2614898</v>
      </c>
      <c r="D102" s="35">
        <f t="shared" si="25"/>
        <v>151410</v>
      </c>
      <c r="E102" s="35">
        <f t="shared" si="25"/>
        <v>476000</v>
      </c>
      <c r="F102" s="35">
        <f t="shared" si="25"/>
        <v>0</v>
      </c>
      <c r="G102" s="35">
        <f t="shared" si="25"/>
        <v>0</v>
      </c>
      <c r="H102" s="35">
        <f t="shared" si="25"/>
        <v>3930776</v>
      </c>
      <c r="I102" s="35">
        <f t="shared" si="25"/>
        <v>0</v>
      </c>
      <c r="J102" s="35">
        <f t="shared" si="25"/>
        <v>0</v>
      </c>
      <c r="K102" s="35">
        <f t="shared" si="25"/>
        <v>764044</v>
      </c>
      <c r="L102" s="35">
        <f t="shared" si="25"/>
        <v>7173084</v>
      </c>
    </row>
    <row r="103" spans="1:12" x14ac:dyDescent="0.25">
      <c r="A103" s="89" t="s">
        <v>529</v>
      </c>
      <c r="B103" s="281"/>
      <c r="C103" s="282"/>
      <c r="D103" s="282"/>
      <c r="E103" s="282"/>
      <c r="F103" s="282"/>
      <c r="G103" s="282">
        <v>900000</v>
      </c>
      <c r="H103" s="282"/>
      <c r="I103" s="282"/>
      <c r="J103" s="282"/>
      <c r="K103" s="283">
        <f>SUM(C103:J103)</f>
        <v>900000</v>
      </c>
      <c r="L103" s="9">
        <f>+L102+K103</f>
        <v>8073084</v>
      </c>
    </row>
    <row r="104" spans="1:12" x14ac:dyDescent="0.25">
      <c r="A104" s="89" t="s">
        <v>530</v>
      </c>
      <c r="B104" s="281"/>
      <c r="C104" s="282"/>
      <c r="D104" s="282"/>
      <c r="E104" s="282"/>
      <c r="F104" s="282"/>
      <c r="G104" s="282">
        <v>600000</v>
      </c>
      <c r="H104" s="282"/>
      <c r="I104" s="282"/>
      <c r="J104" s="282"/>
      <c r="K104" s="283">
        <f t="shared" ref="K104:K125" si="26">SUM(C104:J104)</f>
        <v>600000</v>
      </c>
      <c r="L104" s="9">
        <f t="shared" ref="L104:L112" si="27">+L103+K104</f>
        <v>8673084</v>
      </c>
    </row>
    <row r="105" spans="1:12" x14ac:dyDescent="0.25">
      <c r="A105" s="85" t="s">
        <v>542</v>
      </c>
      <c r="B105" s="287"/>
      <c r="C105" s="217"/>
      <c r="D105" s="217"/>
      <c r="E105" s="217"/>
      <c r="F105" s="217"/>
      <c r="G105" s="217"/>
      <c r="H105" s="217"/>
      <c r="I105" s="217">
        <v>500000</v>
      </c>
      <c r="J105" s="217"/>
      <c r="K105" s="283">
        <f t="shared" si="26"/>
        <v>500000</v>
      </c>
      <c r="L105" s="9">
        <f t="shared" si="27"/>
        <v>9173084</v>
      </c>
    </row>
    <row r="106" spans="1:12" x14ac:dyDescent="0.25">
      <c r="A106" s="99" t="s">
        <v>543</v>
      </c>
      <c r="B106" s="161"/>
      <c r="C106" s="81"/>
      <c r="D106" s="81"/>
      <c r="E106" s="81"/>
      <c r="F106" s="81">
        <v>700000</v>
      </c>
      <c r="G106" s="80"/>
      <c r="H106" s="80"/>
      <c r="I106" s="16"/>
      <c r="J106" s="16"/>
      <c r="K106" s="283">
        <f t="shared" si="26"/>
        <v>700000</v>
      </c>
      <c r="L106" s="9">
        <f t="shared" si="27"/>
        <v>9873084</v>
      </c>
    </row>
    <row r="107" spans="1:12" x14ac:dyDescent="0.25">
      <c r="A107" s="89" t="s">
        <v>560</v>
      </c>
      <c r="B107" s="161"/>
      <c r="C107" s="216">
        <v>75000</v>
      </c>
      <c r="D107" s="216"/>
      <c r="E107" s="216"/>
      <c r="F107" s="216"/>
      <c r="G107" s="216"/>
      <c r="H107" s="216"/>
      <c r="I107" s="216"/>
      <c r="J107" s="286"/>
      <c r="K107" s="283">
        <f t="shared" si="26"/>
        <v>75000</v>
      </c>
      <c r="L107" s="9">
        <f t="shared" si="27"/>
        <v>9948084</v>
      </c>
    </row>
    <row r="108" spans="1:12" x14ac:dyDescent="0.25">
      <c r="A108" s="89" t="s">
        <v>561</v>
      </c>
      <c r="B108" s="281"/>
      <c r="C108" s="282">
        <v>50000</v>
      </c>
      <c r="D108" s="282"/>
      <c r="E108" s="282"/>
      <c r="F108" s="282"/>
      <c r="G108" s="282"/>
      <c r="H108" s="282"/>
      <c r="I108" s="282"/>
      <c r="J108" s="282"/>
      <c r="K108" s="283">
        <f t="shared" si="26"/>
        <v>50000</v>
      </c>
      <c r="L108" s="9">
        <f t="shared" si="27"/>
        <v>9998084</v>
      </c>
    </row>
    <row r="109" spans="1:12" x14ac:dyDescent="0.25">
      <c r="A109" s="62" t="s">
        <v>564</v>
      </c>
      <c r="B109" s="436"/>
      <c r="C109" s="16"/>
      <c r="D109" s="16"/>
      <c r="E109" s="16"/>
      <c r="F109" s="16"/>
      <c r="G109" s="16"/>
      <c r="H109" s="16"/>
      <c r="I109" s="16"/>
      <c r="J109" s="8">
        <v>450000</v>
      </c>
      <c r="K109" s="283">
        <f t="shared" si="26"/>
        <v>450000</v>
      </c>
      <c r="L109" s="9">
        <f t="shared" si="27"/>
        <v>10448084</v>
      </c>
    </row>
    <row r="110" spans="1:12" x14ac:dyDescent="0.25">
      <c r="A110" s="62" t="s">
        <v>565</v>
      </c>
      <c r="B110" s="167"/>
      <c r="C110" s="217"/>
      <c r="D110" s="217"/>
      <c r="E110" s="8">
        <v>285600</v>
      </c>
      <c r="F110" s="16"/>
      <c r="G110" s="16"/>
      <c r="H110" s="16"/>
      <c r="I110" s="16"/>
      <c r="J110" s="70"/>
      <c r="K110" s="283">
        <f t="shared" si="26"/>
        <v>285600</v>
      </c>
      <c r="L110" s="9">
        <f t="shared" si="27"/>
        <v>10733684</v>
      </c>
    </row>
    <row r="111" spans="1:12" x14ac:dyDescent="0.25">
      <c r="A111" s="62" t="s">
        <v>566</v>
      </c>
      <c r="B111" s="167"/>
      <c r="C111" s="217"/>
      <c r="D111" s="217"/>
      <c r="E111" s="16"/>
      <c r="F111" s="16"/>
      <c r="G111" s="16"/>
      <c r="H111" s="8">
        <v>629260</v>
      </c>
      <c r="I111" s="16"/>
      <c r="J111" s="70"/>
      <c r="K111" s="283">
        <f t="shared" si="26"/>
        <v>629260</v>
      </c>
      <c r="L111" s="9">
        <f t="shared" si="27"/>
        <v>11362944</v>
      </c>
    </row>
    <row r="112" spans="1:12" x14ac:dyDescent="0.25">
      <c r="A112" s="62" t="s">
        <v>567</v>
      </c>
      <c r="B112" s="167"/>
      <c r="C112" s="217">
        <v>250238</v>
      </c>
      <c r="D112" s="217"/>
      <c r="E112" s="16"/>
      <c r="F112" s="16"/>
      <c r="G112" s="16"/>
      <c r="H112" s="16"/>
      <c r="I112" s="16"/>
      <c r="J112" s="70"/>
      <c r="K112" s="283">
        <f t="shared" si="26"/>
        <v>250238</v>
      </c>
      <c r="L112" s="9">
        <f t="shared" si="27"/>
        <v>11613182</v>
      </c>
    </row>
    <row r="113" spans="1:12" x14ac:dyDescent="0.25">
      <c r="A113" s="62" t="s">
        <v>568</v>
      </c>
      <c r="B113" s="200"/>
      <c r="C113" s="217">
        <v>125000</v>
      </c>
      <c r="D113" s="217"/>
      <c r="E113" s="217"/>
      <c r="F113" s="217"/>
      <c r="G113" s="217"/>
      <c r="H113" s="217"/>
      <c r="I113" s="217"/>
      <c r="J113" s="217"/>
      <c r="K113" s="289">
        <f t="shared" si="26"/>
        <v>125000</v>
      </c>
      <c r="L113" s="9">
        <f>+L112+K113</f>
        <v>11738182</v>
      </c>
    </row>
    <row r="114" spans="1:12" x14ac:dyDescent="0.25">
      <c r="A114" s="62" t="s">
        <v>576</v>
      </c>
      <c r="B114" s="200"/>
      <c r="C114" s="217">
        <v>3109</v>
      </c>
      <c r="D114" s="217"/>
      <c r="E114" s="217"/>
      <c r="F114" s="217"/>
      <c r="G114" s="217"/>
      <c r="H114" s="217"/>
      <c r="I114" s="217"/>
      <c r="J114" s="217"/>
      <c r="K114" s="289">
        <f t="shared" si="26"/>
        <v>3109</v>
      </c>
      <c r="L114" s="9">
        <f>+L113+K114</f>
        <v>11741291</v>
      </c>
    </row>
    <row r="115" spans="1:12" x14ac:dyDescent="0.25">
      <c r="A115" s="62" t="s">
        <v>577</v>
      </c>
      <c r="B115" s="200"/>
      <c r="C115" s="217">
        <v>13067</v>
      </c>
      <c r="D115" s="217"/>
      <c r="E115" s="217"/>
      <c r="F115" s="217"/>
      <c r="G115" s="217"/>
      <c r="H115" s="217"/>
      <c r="I115" s="217"/>
      <c r="J115" s="217"/>
      <c r="K115" s="289">
        <f t="shared" si="26"/>
        <v>13067</v>
      </c>
      <c r="L115" s="9">
        <f>+L114+K115</f>
        <v>11754358</v>
      </c>
    </row>
    <row r="116" spans="1:12" ht="15.75" thickBot="1" x14ac:dyDescent="0.3">
      <c r="A116" s="73" t="s">
        <v>578</v>
      </c>
      <c r="B116" s="292"/>
      <c r="C116" s="215"/>
      <c r="D116" s="215">
        <v>21630</v>
      </c>
      <c r="E116" s="215"/>
      <c r="F116" s="215"/>
      <c r="G116" s="215"/>
      <c r="H116" s="215"/>
      <c r="I116" s="215"/>
      <c r="J116" s="215"/>
      <c r="K116" s="284">
        <f t="shared" si="26"/>
        <v>21630</v>
      </c>
      <c r="L116" s="11">
        <f>+L115+K116</f>
        <v>11775988</v>
      </c>
    </row>
    <row r="117" spans="1:12" x14ac:dyDescent="0.25">
      <c r="A117" s="79" t="s">
        <v>66</v>
      </c>
      <c r="B117" s="190"/>
      <c r="C117" s="80">
        <f>SUM(C102:C116)</f>
        <v>3131312</v>
      </c>
      <c r="D117" s="80">
        <f t="shared" ref="D117:J117" si="28">SUM(D102:D116)</f>
        <v>173040</v>
      </c>
      <c r="E117" s="80">
        <f t="shared" si="28"/>
        <v>761600</v>
      </c>
      <c r="F117" s="80">
        <f t="shared" si="28"/>
        <v>700000</v>
      </c>
      <c r="G117" s="80">
        <f t="shared" si="28"/>
        <v>1500000</v>
      </c>
      <c r="H117" s="80">
        <f t="shared" si="28"/>
        <v>4560036</v>
      </c>
      <c r="I117" s="80">
        <f t="shared" si="28"/>
        <v>500000</v>
      </c>
      <c r="J117" s="80">
        <f t="shared" si="28"/>
        <v>450000</v>
      </c>
      <c r="K117" s="285">
        <f>SUM(K103:K113)</f>
        <v>4565098</v>
      </c>
      <c r="L117" s="82">
        <f>+L116</f>
        <v>11775988</v>
      </c>
    </row>
    <row r="118" spans="1:12" x14ac:dyDescent="0.25">
      <c r="A118" s="226" t="s">
        <v>646</v>
      </c>
      <c r="B118" s="205"/>
      <c r="C118" s="78">
        <v>199987</v>
      </c>
      <c r="D118" s="124"/>
      <c r="E118" s="124"/>
      <c r="F118" s="124"/>
      <c r="G118" s="124"/>
      <c r="H118" s="124"/>
      <c r="I118" s="124"/>
      <c r="J118" s="78"/>
      <c r="K118" s="283">
        <f t="shared" si="26"/>
        <v>199987</v>
      </c>
      <c r="L118" s="9">
        <f>+L117+K118</f>
        <v>11975975</v>
      </c>
    </row>
    <row r="119" spans="1:12" x14ac:dyDescent="0.25">
      <c r="A119" s="69" t="s">
        <v>647</v>
      </c>
      <c r="B119" s="170"/>
      <c r="C119" s="282">
        <v>69952</v>
      </c>
      <c r="D119" s="282"/>
      <c r="E119" s="282"/>
      <c r="F119" s="282"/>
      <c r="G119" s="282"/>
      <c r="H119" s="282"/>
      <c r="I119" s="282"/>
      <c r="J119" s="282"/>
      <c r="K119" s="283">
        <f t="shared" si="26"/>
        <v>69952</v>
      </c>
      <c r="L119" s="9">
        <f t="shared" ref="L119:L124" si="29">+L118+K119</f>
        <v>12045927</v>
      </c>
    </row>
    <row r="120" spans="1:12" x14ac:dyDescent="0.25">
      <c r="A120" s="69" t="s">
        <v>622</v>
      </c>
      <c r="B120" s="170"/>
      <c r="C120" s="282">
        <v>4389</v>
      </c>
      <c r="D120" s="282"/>
      <c r="E120" s="282"/>
      <c r="F120" s="282"/>
      <c r="G120" s="282"/>
      <c r="H120" s="282"/>
      <c r="I120" s="282"/>
      <c r="J120" s="282"/>
      <c r="K120" s="283">
        <f t="shared" si="26"/>
        <v>4389</v>
      </c>
      <c r="L120" s="9">
        <f t="shared" si="29"/>
        <v>12050316</v>
      </c>
    </row>
    <row r="121" spans="1:12" x14ac:dyDescent="0.25">
      <c r="A121" s="69" t="s">
        <v>623</v>
      </c>
      <c r="B121" s="170"/>
      <c r="C121" s="282">
        <v>18688</v>
      </c>
      <c r="D121" s="282"/>
      <c r="E121" s="282"/>
      <c r="F121" s="282"/>
      <c r="G121" s="282"/>
      <c r="H121" s="282"/>
      <c r="I121" s="282"/>
      <c r="J121" s="282"/>
      <c r="K121" s="283">
        <f t="shared" si="26"/>
        <v>18688</v>
      </c>
      <c r="L121" s="9">
        <f t="shared" si="29"/>
        <v>12069004</v>
      </c>
    </row>
    <row r="122" spans="1:12" x14ac:dyDescent="0.25">
      <c r="A122" s="69" t="s">
        <v>624</v>
      </c>
      <c r="B122" s="170"/>
      <c r="C122" s="282"/>
      <c r="D122" s="282">
        <v>45271</v>
      </c>
      <c r="E122" s="282"/>
      <c r="F122" s="282"/>
      <c r="G122" s="282"/>
      <c r="H122" s="282"/>
      <c r="I122" s="282"/>
      <c r="J122" s="282"/>
      <c r="K122" s="283">
        <f t="shared" si="26"/>
        <v>45271</v>
      </c>
      <c r="L122" s="9">
        <f t="shared" si="29"/>
        <v>12114275</v>
      </c>
    </row>
    <row r="123" spans="1:12" x14ac:dyDescent="0.25">
      <c r="A123" s="69" t="s">
        <v>625</v>
      </c>
      <c r="B123" s="170"/>
      <c r="C123" s="282"/>
      <c r="D123" s="282"/>
      <c r="E123" s="282"/>
      <c r="F123" s="282"/>
      <c r="G123" s="282"/>
      <c r="H123" s="282"/>
      <c r="I123" s="282">
        <v>200000</v>
      </c>
      <c r="J123" s="282"/>
      <c r="K123" s="283">
        <f t="shared" si="26"/>
        <v>200000</v>
      </c>
      <c r="L123" s="9">
        <f t="shared" si="29"/>
        <v>12314275</v>
      </c>
    </row>
    <row r="124" spans="1:12" x14ac:dyDescent="0.25">
      <c r="A124" s="69" t="s">
        <v>626</v>
      </c>
      <c r="B124" s="170"/>
      <c r="C124" s="64"/>
      <c r="D124" s="64"/>
      <c r="E124" s="64"/>
      <c r="F124" s="64"/>
      <c r="G124" s="64"/>
      <c r="H124" s="64">
        <v>500000</v>
      </c>
      <c r="I124" s="64"/>
      <c r="J124" s="64"/>
      <c r="K124" s="283">
        <f t="shared" si="26"/>
        <v>500000</v>
      </c>
      <c r="L124" s="9">
        <f t="shared" si="29"/>
        <v>12814275</v>
      </c>
    </row>
    <row r="125" spans="1:12" ht="15.75" thickBot="1" x14ac:dyDescent="0.3">
      <c r="A125" s="73" t="s">
        <v>664</v>
      </c>
      <c r="B125" s="170"/>
      <c r="C125" s="282">
        <v>405762</v>
      </c>
      <c r="D125" s="282"/>
      <c r="E125" s="70"/>
      <c r="F125" s="70"/>
      <c r="G125" s="70"/>
      <c r="H125" s="70"/>
      <c r="I125" s="70"/>
      <c r="J125" s="70"/>
      <c r="K125" s="283">
        <f t="shared" si="26"/>
        <v>405762</v>
      </c>
      <c r="L125" s="9">
        <f>+L124+K125</f>
        <v>13220037</v>
      </c>
    </row>
    <row r="126" spans="1:12" ht="22.5" customHeight="1" thickBot="1" x14ac:dyDescent="0.3">
      <c r="A126" s="164" t="s">
        <v>61</v>
      </c>
      <c r="B126" s="172"/>
      <c r="C126" s="83">
        <f>SUM(C117:C125)</f>
        <v>3830090</v>
      </c>
      <c r="D126" s="83">
        <f t="shared" ref="D126:J126" si="30">SUM(D117:D125)</f>
        <v>218311</v>
      </c>
      <c r="E126" s="83">
        <f t="shared" si="30"/>
        <v>761600</v>
      </c>
      <c r="F126" s="83">
        <f t="shared" si="30"/>
        <v>700000</v>
      </c>
      <c r="G126" s="83">
        <f t="shared" si="30"/>
        <v>1500000</v>
      </c>
      <c r="H126" s="83">
        <f t="shared" si="30"/>
        <v>5060036</v>
      </c>
      <c r="I126" s="83">
        <f t="shared" si="30"/>
        <v>700000</v>
      </c>
      <c r="J126" s="83">
        <f t="shared" si="30"/>
        <v>450000</v>
      </c>
      <c r="K126" s="83">
        <f>SUM(K118:K125)</f>
        <v>1444049</v>
      </c>
      <c r="L126" s="520">
        <f>L125</f>
        <v>13220037</v>
      </c>
    </row>
    <row r="127" spans="1:12" x14ac:dyDescent="0.25">
      <c r="A127" t="s">
        <v>5</v>
      </c>
    </row>
    <row r="128" spans="1:12" x14ac:dyDescent="0.25">
      <c r="A128" s="98"/>
      <c r="B128" s="98"/>
      <c r="C128" s="327">
        <f>C11-C126</f>
        <v>1341910</v>
      </c>
      <c r="D128" s="327">
        <f t="shared" ref="D128:J128" si="31">D11-D126</f>
        <v>140689</v>
      </c>
      <c r="E128" s="327">
        <f t="shared" si="31"/>
        <v>38400</v>
      </c>
      <c r="F128" s="327">
        <f t="shared" si="31"/>
        <v>500000</v>
      </c>
      <c r="G128" s="327">
        <f t="shared" si="31"/>
        <v>0</v>
      </c>
      <c r="H128" s="327">
        <f t="shared" si="31"/>
        <v>1939964</v>
      </c>
      <c r="I128" s="327">
        <f t="shared" si="31"/>
        <v>0</v>
      </c>
      <c r="J128" s="327">
        <f t="shared" si="31"/>
        <v>450000</v>
      </c>
      <c r="K128" s="98"/>
      <c r="L128" s="327">
        <f>SUM(C128:K128)</f>
        <v>4410963</v>
      </c>
    </row>
    <row r="129" spans="1:12" x14ac:dyDescent="0.25">
      <c r="A129" t="s">
        <v>9</v>
      </c>
      <c r="E129" t="s">
        <v>50</v>
      </c>
      <c r="I129" t="s">
        <v>45</v>
      </c>
    </row>
    <row r="130" spans="1:12" x14ac:dyDescent="0.25">
      <c r="A130" t="s">
        <v>44</v>
      </c>
    </row>
    <row r="131" spans="1:12" x14ac:dyDescent="0.25">
      <c r="E131" t="s">
        <v>13</v>
      </c>
      <c r="F131" s="13">
        <v>6000</v>
      </c>
      <c r="I131" t="s">
        <v>75</v>
      </c>
    </row>
    <row r="132" spans="1:12" x14ac:dyDescent="0.25">
      <c r="E132" t="s">
        <v>6</v>
      </c>
      <c r="F132" s="13" t="s">
        <v>7</v>
      </c>
    </row>
    <row r="133" spans="1:12" ht="15.75" thickBot="1" x14ac:dyDescent="0.3"/>
    <row r="134" spans="1:12" ht="30.75" thickBot="1" x14ac:dyDescent="0.3">
      <c r="A134" s="75" t="s">
        <v>42</v>
      </c>
      <c r="B134" s="165"/>
      <c r="C134" s="45">
        <v>1</v>
      </c>
      <c r="D134" s="45">
        <v>2</v>
      </c>
      <c r="E134" s="45">
        <v>3</v>
      </c>
      <c r="F134" s="45">
        <v>4</v>
      </c>
      <c r="G134" s="45">
        <v>5</v>
      </c>
      <c r="H134" s="45">
        <v>6</v>
      </c>
      <c r="I134" s="45">
        <v>7</v>
      </c>
      <c r="J134" s="45">
        <v>8</v>
      </c>
      <c r="K134" s="51" t="s">
        <v>16</v>
      </c>
      <c r="L134" s="40" t="s">
        <v>17</v>
      </c>
    </row>
    <row r="135" spans="1:12" x14ac:dyDescent="0.25">
      <c r="A135" s="76" t="s">
        <v>43</v>
      </c>
      <c r="B135" s="166"/>
      <c r="C135" s="35">
        <f>C126</f>
        <v>3830090</v>
      </c>
      <c r="D135" s="35">
        <f t="shared" ref="D135:L135" si="32">D126</f>
        <v>218311</v>
      </c>
      <c r="E135" s="35">
        <f t="shared" si="32"/>
        <v>761600</v>
      </c>
      <c r="F135" s="35">
        <f t="shared" si="32"/>
        <v>700000</v>
      </c>
      <c r="G135" s="35">
        <f t="shared" si="32"/>
        <v>1500000</v>
      </c>
      <c r="H135" s="35">
        <f t="shared" si="32"/>
        <v>5060036</v>
      </c>
      <c r="I135" s="35">
        <f t="shared" si="32"/>
        <v>700000</v>
      </c>
      <c r="J135" s="35">
        <f t="shared" si="32"/>
        <v>450000</v>
      </c>
      <c r="K135" s="35">
        <f t="shared" si="32"/>
        <v>1444049</v>
      </c>
      <c r="L135" s="35">
        <f t="shared" si="32"/>
        <v>13220037</v>
      </c>
    </row>
    <row r="136" spans="1:12" x14ac:dyDescent="0.25">
      <c r="A136" s="89" t="s">
        <v>673</v>
      </c>
      <c r="B136" s="281"/>
      <c r="C136" s="282">
        <v>3904</v>
      </c>
      <c r="D136" s="282"/>
      <c r="E136" s="282"/>
      <c r="F136" s="282"/>
      <c r="G136" s="282"/>
      <c r="H136" s="282"/>
      <c r="I136" s="282"/>
      <c r="J136" s="282"/>
      <c r="K136" s="283">
        <f>SUM(C136:J136)</f>
        <v>3904</v>
      </c>
      <c r="L136" s="65">
        <f>L135+K136</f>
        <v>13223941</v>
      </c>
    </row>
    <row r="137" spans="1:12" x14ac:dyDescent="0.25">
      <c r="A137" s="158" t="s">
        <v>680</v>
      </c>
      <c r="B137" s="158"/>
      <c r="C137" s="8">
        <v>15374</v>
      </c>
      <c r="D137" s="8"/>
      <c r="E137" s="8"/>
      <c r="F137" s="8"/>
      <c r="G137" s="8"/>
      <c r="H137" s="8"/>
      <c r="I137" s="8"/>
      <c r="J137" s="8"/>
      <c r="K137" s="283">
        <f>SUM(C137:J137)</f>
        <v>15374</v>
      </c>
      <c r="L137" s="65">
        <f>L136+K137</f>
        <v>13239315</v>
      </c>
    </row>
    <row r="138" spans="1:12" ht="15.75" thickBot="1" x14ac:dyDescent="0.3">
      <c r="A138" s="412" t="s">
        <v>699</v>
      </c>
      <c r="B138" s="273"/>
      <c r="C138" s="10"/>
      <c r="D138" s="10">
        <v>31006</v>
      </c>
      <c r="E138" s="10"/>
      <c r="F138" s="10"/>
      <c r="G138" s="10"/>
      <c r="H138" s="10"/>
      <c r="I138" s="10"/>
      <c r="J138" s="10"/>
      <c r="K138" s="284">
        <f>SUM(C138:J138)</f>
        <v>31006</v>
      </c>
      <c r="L138" s="11">
        <f>L137+K138</f>
        <v>13270321</v>
      </c>
    </row>
    <row r="139" spans="1:12" x14ac:dyDescent="0.25">
      <c r="A139" s="123" t="s">
        <v>69</v>
      </c>
      <c r="B139" s="274"/>
      <c r="C139" s="124">
        <f>SUM(C135:C138)</f>
        <v>3849368</v>
      </c>
      <c r="D139" s="124">
        <f t="shared" ref="D139:J139" si="33">SUM(D135:D138)</f>
        <v>249317</v>
      </c>
      <c r="E139" s="124">
        <f t="shared" si="33"/>
        <v>761600</v>
      </c>
      <c r="F139" s="124">
        <f t="shared" si="33"/>
        <v>700000</v>
      </c>
      <c r="G139" s="124">
        <f t="shared" si="33"/>
        <v>1500000</v>
      </c>
      <c r="H139" s="124">
        <f t="shared" si="33"/>
        <v>5060036</v>
      </c>
      <c r="I139" s="124">
        <f t="shared" si="33"/>
        <v>700000</v>
      </c>
      <c r="J139" s="124">
        <f t="shared" si="33"/>
        <v>450000</v>
      </c>
      <c r="K139" s="285">
        <f>SUM(K135:K138)</f>
        <v>1494333</v>
      </c>
      <c r="L139" s="82">
        <f>+L138</f>
        <v>13270321</v>
      </c>
    </row>
    <row r="140" spans="1:12" x14ac:dyDescent="0.25">
      <c r="A140" s="85" t="s">
        <v>713</v>
      </c>
      <c r="B140" s="287"/>
      <c r="C140" s="8"/>
      <c r="D140" s="8"/>
      <c r="E140" s="8"/>
      <c r="F140" s="8"/>
      <c r="G140" s="8"/>
      <c r="H140" s="8">
        <v>229206</v>
      </c>
      <c r="I140" s="8"/>
      <c r="J140" s="8"/>
      <c r="K140" s="283">
        <f>SUM(C140:J140)</f>
        <v>229206</v>
      </c>
      <c r="L140" s="100">
        <f t="shared" ref="L140:L149" si="34">+L139+K140</f>
        <v>13499527</v>
      </c>
    </row>
    <row r="141" spans="1:12" x14ac:dyDescent="0.25">
      <c r="A141" s="158" t="s">
        <v>714</v>
      </c>
      <c r="B141" s="158"/>
      <c r="C141" s="8"/>
      <c r="D141" s="8"/>
      <c r="E141" s="8"/>
      <c r="F141" s="8"/>
      <c r="G141" s="8"/>
      <c r="H141" s="8">
        <v>40064</v>
      </c>
      <c r="I141" s="8"/>
      <c r="J141" s="8"/>
      <c r="K141" s="126">
        <f t="shared" ref="K141:K149" si="35">SUM(C141:J141)</f>
        <v>40064</v>
      </c>
      <c r="L141" s="100">
        <f t="shared" si="34"/>
        <v>13539591</v>
      </c>
    </row>
    <row r="142" spans="1:12" x14ac:dyDescent="0.25">
      <c r="A142" s="335" t="s">
        <v>715</v>
      </c>
      <c r="B142" s="335"/>
      <c r="C142" s="64"/>
      <c r="D142" s="64"/>
      <c r="E142" s="64"/>
      <c r="F142" s="64"/>
      <c r="G142" s="64"/>
      <c r="H142" s="64">
        <v>485165</v>
      </c>
      <c r="I142" s="64"/>
      <c r="J142" s="64"/>
      <c r="K142" s="126">
        <f t="shared" si="35"/>
        <v>485165</v>
      </c>
      <c r="L142" s="100">
        <f t="shared" si="34"/>
        <v>14024756</v>
      </c>
    </row>
    <row r="143" spans="1:12" x14ac:dyDescent="0.25">
      <c r="A143" s="335" t="s">
        <v>738</v>
      </c>
      <c r="B143" s="335"/>
      <c r="C143" s="64">
        <v>181366</v>
      </c>
      <c r="D143" s="64"/>
      <c r="E143" s="64"/>
      <c r="F143" s="64"/>
      <c r="G143" s="64"/>
      <c r="H143" s="64"/>
      <c r="I143" s="64"/>
      <c r="J143" s="64"/>
      <c r="K143" s="126">
        <f t="shared" si="35"/>
        <v>181366</v>
      </c>
      <c r="L143" s="100">
        <f t="shared" si="34"/>
        <v>14206122</v>
      </c>
    </row>
    <row r="144" spans="1:12" x14ac:dyDescent="0.25">
      <c r="A144" s="335" t="s">
        <v>739</v>
      </c>
      <c r="B144" s="335"/>
      <c r="C144" s="64">
        <v>99396</v>
      </c>
      <c r="D144" s="64"/>
      <c r="E144" s="64"/>
      <c r="F144" s="64"/>
      <c r="G144" s="64"/>
      <c r="H144" s="64"/>
      <c r="I144" s="64"/>
      <c r="J144" s="64"/>
      <c r="K144" s="126">
        <f t="shared" si="35"/>
        <v>99396</v>
      </c>
      <c r="L144" s="100">
        <f t="shared" si="34"/>
        <v>14305518</v>
      </c>
    </row>
    <row r="145" spans="1:12" x14ac:dyDescent="0.25">
      <c r="A145" s="335" t="s">
        <v>740</v>
      </c>
      <c r="B145" s="335"/>
      <c r="C145" s="64">
        <v>75000</v>
      </c>
      <c r="D145" s="64"/>
      <c r="E145" s="64"/>
      <c r="F145" s="64"/>
      <c r="G145" s="64"/>
      <c r="H145" s="64"/>
      <c r="I145" s="64"/>
      <c r="J145" s="64"/>
      <c r="K145" s="126">
        <f t="shared" si="35"/>
        <v>75000</v>
      </c>
      <c r="L145" s="100">
        <f t="shared" si="34"/>
        <v>14380518</v>
      </c>
    </row>
    <row r="146" spans="1:12" x14ac:dyDescent="0.25">
      <c r="A146" s="335" t="s">
        <v>741</v>
      </c>
      <c r="B146" s="335"/>
      <c r="C146" s="64">
        <v>50000</v>
      </c>
      <c r="D146" s="64"/>
      <c r="E146" s="64"/>
      <c r="F146" s="64"/>
      <c r="G146" s="64"/>
      <c r="H146" s="64"/>
      <c r="I146" s="64"/>
      <c r="J146" s="64"/>
      <c r="K146" s="154">
        <f t="shared" si="35"/>
        <v>50000</v>
      </c>
      <c r="L146" s="100">
        <f t="shared" si="34"/>
        <v>14430518</v>
      </c>
    </row>
    <row r="147" spans="1:12" x14ac:dyDescent="0.25">
      <c r="A147" s="335" t="s">
        <v>769</v>
      </c>
      <c r="B147" s="335"/>
      <c r="C147" s="64">
        <v>3904</v>
      </c>
      <c r="D147" s="64"/>
      <c r="E147" s="64"/>
      <c r="F147" s="64"/>
      <c r="G147" s="64"/>
      <c r="H147" s="64"/>
      <c r="I147" s="64"/>
      <c r="J147" s="64"/>
      <c r="K147" s="154">
        <f t="shared" si="35"/>
        <v>3904</v>
      </c>
      <c r="L147" s="100">
        <f t="shared" si="34"/>
        <v>14434422</v>
      </c>
    </row>
    <row r="148" spans="1:12" x14ac:dyDescent="0.25">
      <c r="A148" s="335" t="s">
        <v>770</v>
      </c>
      <c r="B148" s="335"/>
      <c r="C148" s="64">
        <v>15374</v>
      </c>
      <c r="D148" s="64"/>
      <c r="E148" s="64"/>
      <c r="F148" s="64"/>
      <c r="G148" s="64"/>
      <c r="H148" s="64"/>
      <c r="I148" s="64"/>
      <c r="J148" s="64"/>
      <c r="K148" s="154">
        <f t="shared" si="35"/>
        <v>15374</v>
      </c>
      <c r="L148" s="100">
        <f t="shared" si="34"/>
        <v>14449796</v>
      </c>
    </row>
    <row r="149" spans="1:12" ht="15.75" thickBot="1" x14ac:dyDescent="0.3">
      <c r="A149" s="335" t="s">
        <v>771</v>
      </c>
      <c r="B149" s="335"/>
      <c r="C149" s="64"/>
      <c r="D149" s="64">
        <v>31006</v>
      </c>
      <c r="E149" s="64"/>
      <c r="F149" s="64"/>
      <c r="G149" s="64"/>
      <c r="H149" s="64"/>
      <c r="I149" s="64"/>
      <c r="J149" s="64"/>
      <c r="K149" s="154">
        <f t="shared" si="35"/>
        <v>31006</v>
      </c>
      <c r="L149" s="100">
        <f t="shared" si="34"/>
        <v>14480802</v>
      </c>
    </row>
    <row r="150" spans="1:12" ht="15.75" thickBot="1" x14ac:dyDescent="0.3">
      <c r="A150" s="349" t="s">
        <v>70</v>
      </c>
      <c r="B150" s="534"/>
      <c r="C150" s="83">
        <f>SUM(C139:C149)</f>
        <v>4274408</v>
      </c>
      <c r="D150" s="83">
        <f t="shared" ref="D150:J150" si="36">SUM(D139:D149)</f>
        <v>280323</v>
      </c>
      <c r="E150" s="83">
        <f t="shared" si="36"/>
        <v>761600</v>
      </c>
      <c r="F150" s="83">
        <f t="shared" si="36"/>
        <v>700000</v>
      </c>
      <c r="G150" s="83">
        <f t="shared" si="36"/>
        <v>1500000</v>
      </c>
      <c r="H150" s="83">
        <f t="shared" si="36"/>
        <v>5814471</v>
      </c>
      <c r="I150" s="83">
        <f t="shared" si="36"/>
        <v>700000</v>
      </c>
      <c r="J150" s="83">
        <f t="shared" si="36"/>
        <v>450000</v>
      </c>
      <c r="K150" s="535">
        <f>SUM(K140:K149)</f>
        <v>1210481</v>
      </c>
      <c r="L150" s="149">
        <f>SUM(L149)</f>
        <v>14480802</v>
      </c>
    </row>
    <row r="151" spans="1:12" x14ac:dyDescent="0.25">
      <c r="A151" s="99" t="s">
        <v>783</v>
      </c>
      <c r="B151" s="161"/>
      <c r="C151" s="81"/>
      <c r="D151" s="81"/>
      <c r="E151" s="81"/>
      <c r="F151" s="81"/>
      <c r="G151" s="81"/>
      <c r="H151" s="81">
        <v>510030</v>
      </c>
      <c r="I151" s="81"/>
      <c r="J151" s="78"/>
      <c r="K151" s="331">
        <f t="shared" ref="K151:K157" si="37">SUM(C151:J151)</f>
        <v>510030</v>
      </c>
      <c r="L151" s="100">
        <f t="shared" ref="L151:L157" si="38">+L150+K151</f>
        <v>14990832</v>
      </c>
    </row>
    <row r="152" spans="1:12" x14ac:dyDescent="0.25">
      <c r="A152" s="69" t="s">
        <v>797</v>
      </c>
      <c r="B152" s="170"/>
      <c r="C152" s="64">
        <v>405762</v>
      </c>
      <c r="D152" s="64"/>
      <c r="E152" s="64"/>
      <c r="F152" s="64"/>
      <c r="G152" s="64"/>
      <c r="H152" s="64"/>
      <c r="I152" s="64"/>
      <c r="J152" s="64"/>
      <c r="K152" s="126">
        <f t="shared" si="37"/>
        <v>405762</v>
      </c>
      <c r="L152" s="100">
        <f t="shared" si="38"/>
        <v>15396594</v>
      </c>
    </row>
    <row r="153" spans="1:12" x14ac:dyDescent="0.25">
      <c r="A153" s="200" t="s">
        <v>807</v>
      </c>
      <c r="B153" s="200"/>
      <c r="C153" s="8">
        <v>3904</v>
      </c>
      <c r="D153" s="8"/>
      <c r="E153" s="8"/>
      <c r="F153" s="8"/>
      <c r="G153" s="8"/>
      <c r="H153" s="8"/>
      <c r="I153" s="8"/>
      <c r="J153" s="8"/>
      <c r="K153" s="126">
        <f t="shared" si="37"/>
        <v>3904</v>
      </c>
      <c r="L153" s="100">
        <f t="shared" si="38"/>
        <v>15400498</v>
      </c>
    </row>
    <row r="154" spans="1:12" x14ac:dyDescent="0.25">
      <c r="A154" s="226" t="s">
        <v>814</v>
      </c>
      <c r="B154" s="255"/>
      <c r="C154" s="78">
        <v>15374</v>
      </c>
      <c r="D154" s="78"/>
      <c r="E154" s="78"/>
      <c r="F154" s="78"/>
      <c r="G154" s="78"/>
      <c r="H154" s="78"/>
      <c r="I154" s="78"/>
      <c r="J154" s="78"/>
      <c r="K154" s="126">
        <f t="shared" si="37"/>
        <v>15374</v>
      </c>
      <c r="L154" s="100">
        <f t="shared" si="38"/>
        <v>15415872</v>
      </c>
    </row>
    <row r="155" spans="1:12" x14ac:dyDescent="0.25">
      <c r="A155" s="200" t="s">
        <v>815</v>
      </c>
      <c r="B155" s="200"/>
      <c r="C155" s="8"/>
      <c r="D155" s="8">
        <v>31006</v>
      </c>
      <c r="E155" s="8"/>
      <c r="F155" s="8"/>
      <c r="G155" s="8"/>
      <c r="H155" s="8"/>
      <c r="I155" s="8"/>
      <c r="J155" s="8"/>
      <c r="K155" s="126">
        <f t="shared" si="37"/>
        <v>31006</v>
      </c>
      <c r="L155" s="100">
        <f t="shared" si="38"/>
        <v>15446878</v>
      </c>
    </row>
    <row r="156" spans="1:12" x14ac:dyDescent="0.25">
      <c r="A156" s="200" t="s">
        <v>830</v>
      </c>
      <c r="B156" s="200"/>
      <c r="C156" s="8">
        <v>181366</v>
      </c>
      <c r="D156" s="8"/>
      <c r="E156" s="8"/>
      <c r="F156" s="8"/>
      <c r="G156" s="8"/>
      <c r="H156" s="8"/>
      <c r="I156" s="8"/>
      <c r="J156" s="8"/>
      <c r="K156" s="126">
        <f t="shared" si="37"/>
        <v>181366</v>
      </c>
      <c r="L156" s="100">
        <f t="shared" si="38"/>
        <v>15628244</v>
      </c>
    </row>
    <row r="157" spans="1:12" ht="15.75" thickBot="1" x14ac:dyDescent="0.3">
      <c r="A157" s="226" t="s">
        <v>831</v>
      </c>
      <c r="B157" s="255"/>
      <c r="C157" s="78">
        <v>99396</v>
      </c>
      <c r="D157" s="78"/>
      <c r="E157" s="78"/>
      <c r="F157" s="78"/>
      <c r="G157" s="78"/>
      <c r="H157" s="78"/>
      <c r="I157" s="78"/>
      <c r="J157" s="78"/>
      <c r="K157" s="331">
        <f t="shared" si="37"/>
        <v>99396</v>
      </c>
      <c r="L157" s="100">
        <f t="shared" si="38"/>
        <v>15727640</v>
      </c>
    </row>
    <row r="158" spans="1:12" ht="15.75" thickBot="1" x14ac:dyDescent="0.3">
      <c r="A158" s="164" t="s">
        <v>61</v>
      </c>
      <c r="B158" s="172"/>
      <c r="C158" s="83">
        <f>SUM(C150:C157)</f>
        <v>4980210</v>
      </c>
      <c r="D158" s="83">
        <f t="shared" ref="D158:J158" si="39">SUM(D150:D157)</f>
        <v>311329</v>
      </c>
      <c r="E158" s="83">
        <f t="shared" si="39"/>
        <v>761600</v>
      </c>
      <c r="F158" s="83">
        <f t="shared" si="39"/>
        <v>700000</v>
      </c>
      <c r="G158" s="83">
        <f t="shared" si="39"/>
        <v>1500000</v>
      </c>
      <c r="H158" s="83">
        <f t="shared" si="39"/>
        <v>6324501</v>
      </c>
      <c r="I158" s="83">
        <f t="shared" si="39"/>
        <v>700000</v>
      </c>
      <c r="J158" s="83">
        <f t="shared" si="39"/>
        <v>450000</v>
      </c>
      <c r="K158" s="83">
        <f>SUM(K151:K157)</f>
        <v>1246838</v>
      </c>
      <c r="L158" s="149">
        <f>L157</f>
        <v>15727640</v>
      </c>
    </row>
    <row r="159" spans="1:12" x14ac:dyDescent="0.25">
      <c r="A159" t="s">
        <v>5</v>
      </c>
    </row>
    <row r="160" spans="1:12" ht="15.75" thickBot="1" x14ac:dyDescent="0.3"/>
    <row r="161" spans="1:12" ht="15.75" thickBot="1" x14ac:dyDescent="0.3">
      <c r="A161" s="325"/>
      <c r="B161" s="325"/>
      <c r="C161" s="326">
        <f>C11-C158</f>
        <v>191790</v>
      </c>
      <c r="D161" s="326">
        <f t="shared" ref="D161:J161" si="40">D11-D158</f>
        <v>47671</v>
      </c>
      <c r="E161" s="326">
        <f t="shared" si="40"/>
        <v>38400</v>
      </c>
      <c r="F161" s="326">
        <f t="shared" si="40"/>
        <v>500000</v>
      </c>
      <c r="G161" s="541">
        <f t="shared" si="40"/>
        <v>0</v>
      </c>
      <c r="H161" s="326">
        <f t="shared" si="40"/>
        <v>675499</v>
      </c>
      <c r="I161" s="326">
        <f t="shared" si="40"/>
        <v>0</v>
      </c>
      <c r="J161" s="326">
        <f t="shared" si="40"/>
        <v>450000</v>
      </c>
      <c r="K161" s="325"/>
      <c r="L161" s="326">
        <f>SUM(C161:K161)</f>
        <v>1903360</v>
      </c>
    </row>
    <row r="162" spans="1:12" x14ac:dyDescent="0.25">
      <c r="A162" t="s">
        <v>9</v>
      </c>
      <c r="E162" t="s">
        <v>50</v>
      </c>
      <c r="I162" t="s">
        <v>45</v>
      </c>
    </row>
    <row r="163" spans="1:12" x14ac:dyDescent="0.25">
      <c r="A163" t="s">
        <v>44</v>
      </c>
    </row>
    <row r="164" spans="1:12" x14ac:dyDescent="0.25">
      <c r="E164" t="s">
        <v>13</v>
      </c>
      <c r="F164" s="13">
        <v>6000</v>
      </c>
      <c r="I164" t="s">
        <v>75</v>
      </c>
    </row>
    <row r="165" spans="1:12" x14ac:dyDescent="0.25">
      <c r="E165" t="s">
        <v>6</v>
      </c>
      <c r="F165" s="13" t="s">
        <v>7</v>
      </c>
    </row>
    <row r="166" spans="1:12" ht="15.75" thickBot="1" x14ac:dyDescent="0.3"/>
    <row r="167" spans="1:12" ht="30.75" thickBot="1" x14ac:dyDescent="0.3">
      <c r="A167" s="75" t="s">
        <v>42</v>
      </c>
      <c r="B167" s="165"/>
      <c r="C167" s="45">
        <v>1</v>
      </c>
      <c r="D167" s="45">
        <v>2</v>
      </c>
      <c r="E167" s="45">
        <v>3</v>
      </c>
      <c r="F167" s="45">
        <v>4</v>
      </c>
      <c r="G167" s="45">
        <v>5</v>
      </c>
      <c r="H167" s="45">
        <v>6</v>
      </c>
      <c r="I167" s="45">
        <v>7</v>
      </c>
      <c r="J167" s="45">
        <v>8</v>
      </c>
      <c r="K167" s="51" t="s">
        <v>16</v>
      </c>
      <c r="L167" s="40" t="s">
        <v>17</v>
      </c>
    </row>
    <row r="168" spans="1:12" x14ac:dyDescent="0.25">
      <c r="A168" s="76" t="s">
        <v>43</v>
      </c>
      <c r="B168" s="166"/>
      <c r="C168" s="35">
        <f>+C158</f>
        <v>4980210</v>
      </c>
      <c r="D168" s="35">
        <f t="shared" ref="D168:L168" si="41">+D158</f>
        <v>311329</v>
      </c>
      <c r="E168" s="35">
        <f t="shared" si="41"/>
        <v>761600</v>
      </c>
      <c r="F168" s="35">
        <f t="shared" si="41"/>
        <v>700000</v>
      </c>
      <c r="G168" s="35">
        <f t="shared" si="41"/>
        <v>1500000</v>
      </c>
      <c r="H168" s="35">
        <f t="shared" si="41"/>
        <v>6324501</v>
      </c>
      <c r="I168" s="35">
        <f t="shared" si="41"/>
        <v>700000</v>
      </c>
      <c r="J168" s="35">
        <f t="shared" si="41"/>
        <v>450000</v>
      </c>
      <c r="K168" s="35">
        <f t="shared" si="41"/>
        <v>1246838</v>
      </c>
      <c r="L168" s="77">
        <f t="shared" si="41"/>
        <v>15727640</v>
      </c>
    </row>
    <row r="169" spans="1:12" x14ac:dyDescent="0.25">
      <c r="A169" s="158" t="s">
        <v>832</v>
      </c>
      <c r="B169" s="287"/>
      <c r="C169" s="8">
        <v>75000</v>
      </c>
      <c r="D169" s="8"/>
      <c r="E169" s="8"/>
      <c r="F169" s="8"/>
      <c r="G169" s="8"/>
      <c r="H169" s="8"/>
      <c r="I169" s="8"/>
      <c r="J169" s="8"/>
      <c r="K169" s="126">
        <f t="shared" ref="K169:K185" si="42">SUM(C169:J169)</f>
        <v>75000</v>
      </c>
      <c r="L169" s="8">
        <f t="shared" ref="L169:L174" si="43">+L168+K169</f>
        <v>15802640</v>
      </c>
    </row>
    <row r="170" spans="1:12" x14ac:dyDescent="0.25">
      <c r="A170" s="330" t="s">
        <v>833</v>
      </c>
      <c r="B170" s="130"/>
      <c r="C170" s="78">
        <v>50000</v>
      </c>
      <c r="D170" s="78"/>
      <c r="E170" s="78"/>
      <c r="F170" s="78"/>
      <c r="G170" s="78"/>
      <c r="H170" s="78"/>
      <c r="I170" s="78"/>
      <c r="J170" s="78"/>
      <c r="K170" s="331">
        <f t="shared" si="42"/>
        <v>50000</v>
      </c>
      <c r="L170" s="8">
        <f t="shared" si="43"/>
        <v>15852640</v>
      </c>
    </row>
    <row r="171" spans="1:12" x14ac:dyDescent="0.25">
      <c r="A171" s="158" t="s">
        <v>855</v>
      </c>
      <c r="B171" s="158"/>
      <c r="C171" s="8">
        <v>3904</v>
      </c>
      <c r="D171" s="8"/>
      <c r="E171" s="8"/>
      <c r="F171" s="8"/>
      <c r="G171" s="8"/>
      <c r="H171" s="8"/>
      <c r="I171" s="8"/>
      <c r="J171" s="8"/>
      <c r="K171" s="126">
        <f t="shared" si="42"/>
        <v>3904</v>
      </c>
      <c r="L171" s="8">
        <f t="shared" si="43"/>
        <v>15856544</v>
      </c>
    </row>
    <row r="172" spans="1:12" x14ac:dyDescent="0.25">
      <c r="A172" s="405" t="s">
        <v>862</v>
      </c>
      <c r="B172" s="405"/>
      <c r="C172" s="286">
        <v>15374</v>
      </c>
      <c r="D172" s="286"/>
      <c r="E172" s="286"/>
      <c r="F172" s="286"/>
      <c r="G172" s="286"/>
      <c r="H172" s="286"/>
      <c r="I172" s="286"/>
      <c r="J172" s="286"/>
      <c r="K172" s="546">
        <f t="shared" si="42"/>
        <v>15374</v>
      </c>
      <c r="L172" s="8">
        <f t="shared" si="43"/>
        <v>15871918</v>
      </c>
    </row>
    <row r="173" spans="1:12" x14ac:dyDescent="0.25">
      <c r="A173" s="335" t="s">
        <v>869</v>
      </c>
      <c r="B173" s="335"/>
      <c r="C173" s="282"/>
      <c r="D173" s="282">
        <v>31006</v>
      </c>
      <c r="E173" s="282"/>
      <c r="F173" s="282"/>
      <c r="G173" s="282"/>
      <c r="H173" s="282"/>
      <c r="I173" s="282"/>
      <c r="J173" s="282"/>
      <c r="K173" s="289">
        <f t="shared" si="42"/>
        <v>31006</v>
      </c>
      <c r="L173" s="8">
        <f t="shared" si="43"/>
        <v>15902924</v>
      </c>
    </row>
    <row r="174" spans="1:12" ht="15.75" thickBot="1" x14ac:dyDescent="0.3">
      <c r="A174" s="335" t="s">
        <v>886</v>
      </c>
      <c r="B174" s="335"/>
      <c r="C174" s="282"/>
      <c r="D174" s="282"/>
      <c r="E174" s="282"/>
      <c r="F174" s="282">
        <v>500000</v>
      </c>
      <c r="G174" s="282"/>
      <c r="H174" s="282"/>
      <c r="I174" s="282"/>
      <c r="J174" s="282"/>
      <c r="K174" s="283">
        <f t="shared" si="42"/>
        <v>500000</v>
      </c>
      <c r="L174" s="78">
        <f t="shared" si="43"/>
        <v>16402924</v>
      </c>
    </row>
    <row r="175" spans="1:12" ht="15.75" thickBot="1" x14ac:dyDescent="0.3">
      <c r="A175" s="349" t="s">
        <v>74</v>
      </c>
      <c r="B175" s="553"/>
      <c r="C175" s="83">
        <f>SUM(C168:C174)</f>
        <v>5124488</v>
      </c>
      <c r="D175" s="83">
        <f t="shared" ref="D175:J175" si="44">SUM(D168:D174)</f>
        <v>342335</v>
      </c>
      <c r="E175" s="83">
        <f t="shared" si="44"/>
        <v>761600</v>
      </c>
      <c r="F175" s="83">
        <f t="shared" si="44"/>
        <v>1200000</v>
      </c>
      <c r="G175" s="83">
        <f t="shared" si="44"/>
        <v>1500000</v>
      </c>
      <c r="H175" s="83">
        <f t="shared" si="44"/>
        <v>6324501</v>
      </c>
      <c r="I175" s="83">
        <f t="shared" si="44"/>
        <v>700000</v>
      </c>
      <c r="J175" s="83">
        <f t="shared" si="44"/>
        <v>450000</v>
      </c>
      <c r="K175" s="535">
        <f>SUM(K168:K174)</f>
        <v>1922122</v>
      </c>
      <c r="L175" s="149">
        <f>L174</f>
        <v>16402924</v>
      </c>
    </row>
    <row r="176" spans="1:12" x14ac:dyDescent="0.25">
      <c r="A176" s="405" t="s">
        <v>904</v>
      </c>
      <c r="B176" s="405"/>
      <c r="C176" s="286"/>
      <c r="D176" s="286"/>
      <c r="E176" s="286"/>
      <c r="F176" s="286"/>
      <c r="G176" s="286"/>
      <c r="H176" s="286">
        <v>583040</v>
      </c>
      <c r="I176" s="286"/>
      <c r="J176" s="286"/>
      <c r="K176" s="290">
        <f t="shared" si="42"/>
        <v>583040</v>
      </c>
      <c r="L176" s="100">
        <f t="shared" ref="L176:L179" si="45">+L175+K176</f>
        <v>16985964</v>
      </c>
    </row>
    <row r="177" spans="1:12" x14ac:dyDescent="0.25">
      <c r="A177" s="335" t="s">
        <v>913</v>
      </c>
      <c r="B177" s="335"/>
      <c r="C177" s="282"/>
      <c r="D177" s="282"/>
      <c r="E177" s="282"/>
      <c r="F177" s="282"/>
      <c r="G177" s="282"/>
      <c r="H177" s="282"/>
      <c r="I177" s="282"/>
      <c r="J177" s="282">
        <v>225000</v>
      </c>
      <c r="K177" s="283">
        <f t="shared" si="42"/>
        <v>225000</v>
      </c>
      <c r="L177" s="100">
        <f t="shared" si="45"/>
        <v>17210964</v>
      </c>
    </row>
    <row r="178" spans="1:12" x14ac:dyDescent="0.25">
      <c r="A178" s="335" t="s">
        <v>919</v>
      </c>
      <c r="B178" s="335"/>
      <c r="C178" s="282"/>
      <c r="D178" s="282"/>
      <c r="E178" s="282"/>
      <c r="F178" s="282"/>
      <c r="G178" s="282"/>
      <c r="H178" s="282"/>
      <c r="I178" s="282"/>
      <c r="J178" s="282">
        <v>225000</v>
      </c>
      <c r="K178" s="283">
        <f t="shared" si="42"/>
        <v>225000</v>
      </c>
      <c r="L178" s="100">
        <f t="shared" si="45"/>
        <v>17435964</v>
      </c>
    </row>
    <row r="179" spans="1:12" ht="15.75" thickBot="1" x14ac:dyDescent="0.3">
      <c r="A179" s="335" t="s">
        <v>928</v>
      </c>
      <c r="B179" s="335"/>
      <c r="C179" s="64"/>
      <c r="D179" s="64"/>
      <c r="E179" s="64"/>
      <c r="F179" s="70"/>
      <c r="G179" s="70"/>
      <c r="H179" s="64">
        <v>50000</v>
      </c>
      <c r="I179" s="64"/>
      <c r="J179" s="70"/>
      <c r="K179" s="283">
        <f t="shared" si="42"/>
        <v>50000</v>
      </c>
      <c r="L179" s="127">
        <f t="shared" si="45"/>
        <v>17485964</v>
      </c>
    </row>
    <row r="180" spans="1:12" ht="15.75" thickBot="1" x14ac:dyDescent="0.3">
      <c r="A180" s="349" t="s">
        <v>914</v>
      </c>
      <c r="B180" s="553"/>
      <c r="C180" s="83">
        <f>SUM(C175:C179)</f>
        <v>5124488</v>
      </c>
      <c r="D180" s="83">
        <f t="shared" ref="D180:J180" si="46">SUM(D175:D179)</f>
        <v>342335</v>
      </c>
      <c r="E180" s="83">
        <f t="shared" si="46"/>
        <v>761600</v>
      </c>
      <c r="F180" s="83">
        <f t="shared" si="46"/>
        <v>1200000</v>
      </c>
      <c r="G180" s="83">
        <f t="shared" si="46"/>
        <v>1500000</v>
      </c>
      <c r="H180" s="83">
        <f t="shared" si="46"/>
        <v>6957541</v>
      </c>
      <c r="I180" s="83">
        <f t="shared" si="46"/>
        <v>700000</v>
      </c>
      <c r="J180" s="83">
        <f t="shared" si="46"/>
        <v>900000</v>
      </c>
      <c r="K180" s="555">
        <f>SUM(K176:K179)</f>
        <v>1083040</v>
      </c>
      <c r="L180" s="149">
        <f>L179</f>
        <v>17485964</v>
      </c>
    </row>
    <row r="181" spans="1:12" x14ac:dyDescent="0.25">
      <c r="A181" s="554"/>
      <c r="B181" s="554"/>
      <c r="C181" s="81"/>
      <c r="D181" s="81"/>
      <c r="E181" s="81"/>
      <c r="F181" s="80"/>
      <c r="G181" s="80"/>
      <c r="H181" s="80"/>
      <c r="I181" s="81"/>
      <c r="J181" s="80"/>
      <c r="K181" s="546">
        <f t="shared" si="42"/>
        <v>0</v>
      </c>
      <c r="L181" s="100"/>
    </row>
    <row r="182" spans="1:12" x14ac:dyDescent="0.25">
      <c r="A182" s="158"/>
      <c r="B182" s="158"/>
      <c r="C182" s="8"/>
      <c r="D182" s="8"/>
      <c r="E182" s="8"/>
      <c r="F182" s="16"/>
      <c r="G182" s="16"/>
      <c r="H182" s="16"/>
      <c r="I182" s="8"/>
      <c r="J182" s="16"/>
      <c r="K182" s="289">
        <f t="shared" si="42"/>
        <v>0</v>
      </c>
      <c r="L182" s="100"/>
    </row>
    <row r="183" spans="1:12" x14ac:dyDescent="0.25">
      <c r="A183" s="158"/>
      <c r="B183" s="158"/>
      <c r="C183" s="8"/>
      <c r="D183" s="8"/>
      <c r="E183" s="8"/>
      <c r="F183" s="16"/>
      <c r="G183" s="16"/>
      <c r="H183" s="16"/>
      <c r="I183" s="8"/>
      <c r="J183" s="16"/>
      <c r="K183" s="289">
        <f t="shared" si="42"/>
        <v>0</v>
      </c>
      <c r="L183" s="100"/>
    </row>
    <row r="184" spans="1:12" x14ac:dyDescent="0.25">
      <c r="A184" s="158"/>
      <c r="B184" s="158"/>
      <c r="C184" s="8"/>
      <c r="D184" s="8"/>
      <c r="E184" s="8"/>
      <c r="F184" s="16"/>
      <c r="G184" s="16"/>
      <c r="H184" s="16"/>
      <c r="I184" s="8"/>
      <c r="J184" s="16"/>
      <c r="K184" s="289">
        <f t="shared" si="42"/>
        <v>0</v>
      </c>
      <c r="L184" s="100"/>
    </row>
    <row r="185" spans="1:12" x14ac:dyDescent="0.25">
      <c r="A185" s="335"/>
      <c r="B185" s="335"/>
      <c r="C185" s="64"/>
      <c r="D185" s="64"/>
      <c r="E185" s="64"/>
      <c r="F185" s="70"/>
      <c r="G185" s="70"/>
      <c r="H185" s="70"/>
      <c r="I185" s="64"/>
      <c r="J185" s="70"/>
      <c r="K185" s="283">
        <f t="shared" si="42"/>
        <v>0</v>
      </c>
      <c r="L185" s="127"/>
    </row>
    <row r="186" spans="1:12" x14ac:dyDescent="0.25">
      <c r="A186" s="552"/>
      <c r="B186" s="552"/>
      <c r="C186" s="16"/>
      <c r="D186" s="16"/>
      <c r="E186" s="16"/>
      <c r="F186" s="16"/>
      <c r="G186" s="16"/>
      <c r="H186" s="16"/>
      <c r="I186" s="16"/>
      <c r="J186" s="16"/>
      <c r="K186" s="549"/>
      <c r="L186" s="16"/>
    </row>
    <row r="187" spans="1:12" x14ac:dyDescent="0.25">
      <c r="A187" s="99"/>
      <c r="B187" s="161"/>
      <c r="C187" s="216"/>
      <c r="D187" s="216"/>
      <c r="E187" s="216"/>
      <c r="F187" s="216"/>
      <c r="G187" s="216"/>
      <c r="H187" s="216"/>
      <c r="I187" s="216"/>
      <c r="J187" s="286"/>
      <c r="K187" s="290">
        <f>SUM(C187:J187)</f>
        <v>0</v>
      </c>
      <c r="L187" s="100"/>
    </row>
    <row r="188" spans="1:12" x14ac:dyDescent="0.25">
      <c r="A188" s="226"/>
      <c r="B188" s="255"/>
      <c r="C188" s="286"/>
      <c r="D188" s="286"/>
      <c r="E188" s="124"/>
      <c r="F188" s="124"/>
      <c r="G188" s="124"/>
      <c r="H188" s="78"/>
      <c r="I188" s="124"/>
      <c r="J188" s="124"/>
      <c r="K188" s="290">
        <f>SUM(C188:J188)</f>
        <v>0</v>
      </c>
      <c r="L188" s="100"/>
    </row>
    <row r="189" spans="1:12" ht="15.75" thickBot="1" x14ac:dyDescent="0.3">
      <c r="A189" s="226"/>
      <c r="B189" s="255"/>
      <c r="C189" s="286"/>
      <c r="D189" s="286"/>
      <c r="E189" s="78"/>
      <c r="F189" s="124"/>
      <c r="G189" s="124"/>
      <c r="H189" s="124"/>
      <c r="I189" s="124"/>
      <c r="J189" s="124"/>
      <c r="K189" s="290">
        <f>SUM(C189:J189)</f>
        <v>0</v>
      </c>
      <c r="L189" s="100"/>
    </row>
    <row r="190" spans="1:12" ht="15.75" thickBot="1" x14ac:dyDescent="0.3">
      <c r="A190" s="164" t="s">
        <v>61</v>
      </c>
      <c r="B190" s="172"/>
      <c r="C190" s="83"/>
      <c r="D190" s="83"/>
      <c r="E190" s="83"/>
      <c r="F190" s="83"/>
      <c r="G190" s="83"/>
      <c r="H190" s="83"/>
      <c r="I190" s="83"/>
      <c r="J190" s="83"/>
      <c r="K190" s="83">
        <f>SUM(K187:K189)</f>
        <v>0</v>
      </c>
      <c r="L190" s="149">
        <f>+SUM(C190:J190)</f>
        <v>0</v>
      </c>
    </row>
    <row r="191" spans="1:12" x14ac:dyDescent="0.25">
      <c r="A191" t="s">
        <v>5</v>
      </c>
    </row>
    <row r="192" spans="1:12" ht="15.75" thickBot="1" x14ac:dyDescent="0.3"/>
    <row r="193" spans="1:12" ht="15.75" thickBot="1" x14ac:dyDescent="0.3">
      <c r="A193" s="325"/>
      <c r="B193" s="325"/>
      <c r="C193" s="389">
        <f>C11-C180</f>
        <v>47512</v>
      </c>
      <c r="D193" s="389">
        <f t="shared" ref="D193:J193" si="47">D11-D180</f>
        <v>16665</v>
      </c>
      <c r="E193" s="389">
        <f t="shared" si="47"/>
        <v>38400</v>
      </c>
      <c r="F193" s="389">
        <f t="shared" si="47"/>
        <v>0</v>
      </c>
      <c r="G193" s="389">
        <f t="shared" si="47"/>
        <v>0</v>
      </c>
      <c r="H193" s="389">
        <f t="shared" si="47"/>
        <v>42459</v>
      </c>
      <c r="I193" s="389">
        <f t="shared" si="47"/>
        <v>0</v>
      </c>
      <c r="J193" s="389">
        <f t="shared" si="47"/>
        <v>0</v>
      </c>
      <c r="K193" s="325"/>
      <c r="L193" s="326">
        <f>SUM(C193:K193)</f>
        <v>145036</v>
      </c>
    </row>
  </sheetData>
  <pageMargins left="0.39370078740157483" right="0.3125" top="0.59055118110236227" bottom="0.59055118110236227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view="pageLayout" topLeftCell="A19" zoomScaleNormal="100" workbookViewId="0">
      <selection activeCell="F19" sqref="F19"/>
    </sheetView>
  </sheetViews>
  <sheetFormatPr baseColWidth="10" defaultColWidth="11.42578125" defaultRowHeight="15" x14ac:dyDescent="0.25"/>
  <cols>
    <col min="2" max="2" width="10.42578125" customWidth="1"/>
    <col min="3" max="3" width="12.140625" customWidth="1"/>
    <col min="4" max="4" width="11" customWidth="1"/>
    <col min="5" max="5" width="11.28515625" customWidth="1"/>
    <col min="6" max="6" width="11.42578125" customWidth="1"/>
    <col min="7" max="7" width="11.28515625" customWidth="1"/>
    <col min="8" max="8" width="11.5703125" customWidth="1"/>
    <col min="9" max="9" width="10.7109375" customWidth="1"/>
    <col min="10" max="10" width="11.140625" customWidth="1"/>
    <col min="11" max="11" width="12" customWidth="1"/>
    <col min="12" max="12" width="13.140625" customWidth="1"/>
    <col min="13" max="13" width="14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60010</v>
      </c>
      <c r="I3" t="s">
        <v>75</v>
      </c>
    </row>
    <row r="4" spans="1:11" x14ac:dyDescent="0.25">
      <c r="E4" t="s">
        <v>6</v>
      </c>
      <c r="F4" s="13" t="s">
        <v>22</v>
      </c>
    </row>
    <row r="5" spans="1:11" ht="15.75" thickBot="1" x14ac:dyDescent="0.3"/>
    <row r="6" spans="1:11" ht="31.5" thickBot="1" x14ac:dyDescent="0.35">
      <c r="A6" s="39" t="s">
        <v>1</v>
      </c>
      <c r="B6" s="41"/>
      <c r="C6" s="44">
        <v>1</v>
      </c>
      <c r="D6" s="41"/>
      <c r="E6" s="41"/>
      <c r="F6" s="41"/>
      <c r="G6" s="41"/>
      <c r="H6" s="41"/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>
        <v>1680000</v>
      </c>
      <c r="D7" s="26"/>
      <c r="E7" s="26"/>
      <c r="F7" s="26"/>
      <c r="G7" s="26"/>
      <c r="H7" s="26"/>
      <c r="I7" s="26"/>
      <c r="J7" s="28">
        <f>SUM(B7:I7)</f>
        <v>1680000</v>
      </c>
      <c r="K7" s="29">
        <f>J7</f>
        <v>1680000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1680000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1680000</v>
      </c>
      <c r="K11" s="23">
        <f>K10+J11</f>
        <v>1680000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90" t="s">
        <v>114</v>
      </c>
      <c r="B13" s="59"/>
      <c r="C13" s="419">
        <v>360000</v>
      </c>
      <c r="D13" s="59"/>
      <c r="E13" s="59"/>
      <c r="F13" s="59"/>
      <c r="G13" s="59"/>
      <c r="H13" s="59"/>
      <c r="I13" s="59"/>
      <c r="J13" s="59">
        <f>SUM(C13:I13)</f>
        <v>360000</v>
      </c>
      <c r="K13" s="67">
        <f>+J13</f>
        <v>360000</v>
      </c>
    </row>
    <row r="14" spans="1:11" x14ac:dyDescent="0.25">
      <c r="A14" s="87" t="s">
        <v>51</v>
      </c>
      <c r="B14" s="35"/>
      <c r="C14" s="35">
        <f>SUM(C13)</f>
        <v>360000</v>
      </c>
      <c r="D14" s="35"/>
      <c r="E14" s="35"/>
      <c r="F14" s="35"/>
      <c r="G14" s="35"/>
      <c r="H14" s="35"/>
      <c r="I14" s="35"/>
      <c r="J14" s="35"/>
      <c r="K14" s="12">
        <f>SUM(K13)</f>
        <v>360000</v>
      </c>
    </row>
    <row r="15" spans="1:11" ht="15.75" thickBot="1" x14ac:dyDescent="0.3">
      <c r="A15" s="141" t="s">
        <v>369</v>
      </c>
      <c r="B15" s="10"/>
      <c r="C15" s="10">
        <v>330000</v>
      </c>
      <c r="D15" s="10"/>
      <c r="E15" s="10"/>
      <c r="F15" s="10"/>
      <c r="G15" s="10"/>
      <c r="H15" s="10"/>
      <c r="I15" s="10"/>
      <c r="J15" s="10">
        <f>SUM(C15:I15)</f>
        <v>330000</v>
      </c>
      <c r="K15" s="11">
        <f>+K14+J15</f>
        <v>690000</v>
      </c>
    </row>
    <row r="16" spans="1:11" x14ac:dyDescent="0.25">
      <c r="A16" s="114" t="s">
        <v>60</v>
      </c>
      <c r="B16" s="80"/>
      <c r="C16" s="80">
        <f>SUM(C14:C15)</f>
        <v>690000</v>
      </c>
      <c r="D16" s="80"/>
      <c r="E16" s="80"/>
      <c r="F16" s="80"/>
      <c r="G16" s="80"/>
      <c r="H16" s="80"/>
      <c r="I16" s="80"/>
      <c r="J16" s="64"/>
      <c r="K16" s="82">
        <f>K15</f>
        <v>690000</v>
      </c>
    </row>
    <row r="17" spans="1:11" ht="15.75" thickBot="1" x14ac:dyDescent="0.3">
      <c r="A17" s="141" t="s">
        <v>772</v>
      </c>
      <c r="B17" s="10"/>
      <c r="C17" s="10">
        <v>320000</v>
      </c>
      <c r="D17" s="10"/>
      <c r="E17" s="10"/>
      <c r="F17" s="10"/>
      <c r="G17" s="10"/>
      <c r="H17" s="10"/>
      <c r="I17" s="10"/>
      <c r="J17" s="10">
        <f>SUM(C17:I17)</f>
        <v>320000</v>
      </c>
      <c r="K17" s="11">
        <f>K16+J17</f>
        <v>1010000</v>
      </c>
    </row>
    <row r="18" spans="1:11" x14ac:dyDescent="0.25">
      <c r="A18" s="114" t="s">
        <v>70</v>
      </c>
      <c r="B18" s="80"/>
      <c r="C18" s="80">
        <f>SUM(C16:C17)</f>
        <v>1010000</v>
      </c>
      <c r="D18" s="80"/>
      <c r="E18" s="80"/>
      <c r="F18" s="80"/>
      <c r="G18" s="80"/>
      <c r="H18" s="80"/>
      <c r="I18" s="80"/>
      <c r="J18" s="80">
        <f>SUM(J17)</f>
        <v>320000</v>
      </c>
      <c r="K18" s="82">
        <f>+K17</f>
        <v>1010000</v>
      </c>
    </row>
    <row r="19" spans="1:11" x14ac:dyDescent="0.25">
      <c r="A19" s="92"/>
      <c r="B19" s="16"/>
      <c r="C19" s="8"/>
      <c r="D19" s="8"/>
      <c r="E19" s="8"/>
      <c r="F19" s="8"/>
      <c r="G19" s="8"/>
      <c r="H19" s="8"/>
      <c r="I19" s="8"/>
      <c r="J19" s="8"/>
      <c r="K19" s="9"/>
    </row>
    <row r="20" spans="1:11" x14ac:dyDescent="0.25">
      <c r="A20" s="93"/>
      <c r="B20" s="8"/>
      <c r="C20" s="8"/>
      <c r="D20" s="8"/>
      <c r="E20" s="16"/>
      <c r="F20" s="8"/>
      <c r="G20" s="8"/>
      <c r="H20" s="8"/>
      <c r="I20" s="8"/>
      <c r="J20" s="8"/>
      <c r="K20" s="9"/>
    </row>
    <row r="21" spans="1:11" x14ac:dyDescent="0.25">
      <c r="A21" s="91"/>
      <c r="B21" s="16"/>
      <c r="C21" s="16"/>
      <c r="D21" s="16"/>
      <c r="E21" s="8"/>
      <c r="F21" s="16"/>
      <c r="G21" s="16"/>
      <c r="H21" s="16"/>
      <c r="I21" s="16"/>
      <c r="J21" s="8"/>
      <c r="K21" s="9"/>
    </row>
    <row r="22" spans="1:11" x14ac:dyDescent="0.25">
      <c r="A22" s="93"/>
      <c r="B22" s="8"/>
      <c r="C22" s="8"/>
      <c r="D22" s="8"/>
      <c r="E22" s="16"/>
      <c r="F22" s="8"/>
      <c r="G22" s="8"/>
      <c r="H22" s="8"/>
      <c r="I22" s="8"/>
      <c r="J22" s="8"/>
      <c r="K22" s="9"/>
    </row>
    <row r="23" spans="1:11" ht="15.75" thickBot="1" x14ac:dyDescent="0.3">
      <c r="A23" s="94"/>
      <c r="B23" s="3"/>
      <c r="C23" s="3"/>
      <c r="D23" s="3"/>
      <c r="E23" s="3"/>
      <c r="F23" s="3"/>
      <c r="G23" s="3"/>
      <c r="H23" s="3"/>
      <c r="I23" s="3"/>
      <c r="J23" s="10"/>
      <c r="K23" s="11"/>
    </row>
    <row r="24" spans="1:11" ht="15.75" thickBot="1" x14ac:dyDescent="0.3">
      <c r="A24" s="36" t="s">
        <v>0</v>
      </c>
      <c r="B24" s="15">
        <v>0</v>
      </c>
      <c r="C24" s="15">
        <f>SUM(C18:C23)</f>
        <v>1010000</v>
      </c>
      <c r="D24" s="15">
        <f t="shared" ref="D24:I24" si="1">SUM(D18:D23)</f>
        <v>0</v>
      </c>
      <c r="E24" s="15">
        <f t="shared" si="1"/>
        <v>0</v>
      </c>
      <c r="F24" s="15">
        <f t="shared" si="1"/>
        <v>0</v>
      </c>
      <c r="G24" s="15">
        <f t="shared" si="1"/>
        <v>0</v>
      </c>
      <c r="H24" s="15">
        <f t="shared" si="1"/>
        <v>0</v>
      </c>
      <c r="I24" s="15">
        <f t="shared" si="1"/>
        <v>0</v>
      </c>
      <c r="J24" s="15"/>
      <c r="K24" s="14"/>
    </row>
    <row r="25" spans="1:11" ht="21" customHeight="1" x14ac:dyDescent="0.25">
      <c r="A25" t="s">
        <v>5</v>
      </c>
    </row>
    <row r="26" spans="1:11" x14ac:dyDescent="0.25">
      <c r="A26" s="98"/>
      <c r="B26" s="98"/>
      <c r="C26" s="327">
        <f>C7-C18</f>
        <v>670000</v>
      </c>
      <c r="D26" s="98"/>
      <c r="E26" s="98"/>
      <c r="F26" s="98"/>
      <c r="G26" s="98"/>
      <c r="H26" s="98"/>
      <c r="I26" s="98"/>
      <c r="J26" s="98"/>
      <c r="K26" s="327">
        <f>SUM(C26:J26)</f>
        <v>670000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6"/>
  <sheetViews>
    <sheetView view="pageLayout" topLeftCell="A10" zoomScaleNormal="100" workbookViewId="0">
      <selection activeCell="D19" sqref="D19"/>
    </sheetView>
  </sheetViews>
  <sheetFormatPr baseColWidth="10" defaultColWidth="11.42578125" defaultRowHeight="15" x14ac:dyDescent="0.25"/>
  <cols>
    <col min="1" max="1" width="11.7109375" customWidth="1"/>
    <col min="2" max="2" width="12.140625" customWidth="1"/>
    <col min="3" max="3" width="10.28515625" customWidth="1"/>
    <col min="4" max="5" width="10.85546875" customWidth="1"/>
    <col min="6" max="6" width="13.42578125" customWidth="1"/>
    <col min="7" max="7" width="10.85546875" customWidth="1"/>
    <col min="8" max="8" width="10.7109375" customWidth="1"/>
    <col min="9" max="9" width="11.28515625" customWidth="1"/>
    <col min="10" max="10" width="14" customWidth="1"/>
    <col min="11" max="11" width="12" customWidth="1"/>
    <col min="12" max="12" width="12.7109375" customWidth="1"/>
    <col min="13" max="13" width="13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60011</v>
      </c>
      <c r="I3" t="s">
        <v>75</v>
      </c>
    </row>
    <row r="4" spans="1:11" x14ac:dyDescent="0.25">
      <c r="E4" t="s">
        <v>6</v>
      </c>
      <c r="F4" s="13" t="s">
        <v>8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>
        <v>7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>
        <v>4000000</v>
      </c>
      <c r="G7" s="26">
        <v>500000</v>
      </c>
      <c r="H7" s="26"/>
      <c r="I7" s="26">
        <v>500000</v>
      </c>
      <c r="J7" s="28">
        <f>SUM(B7:I7)</f>
        <v>5000000</v>
      </c>
      <c r="K7" s="29">
        <f>J7</f>
        <v>5000000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4000000</v>
      </c>
      <c r="G11" s="27">
        <f t="shared" si="0"/>
        <v>500000</v>
      </c>
      <c r="H11" s="27">
        <f t="shared" si="0"/>
        <v>0</v>
      </c>
      <c r="I11" s="27">
        <f t="shared" si="0"/>
        <v>500000</v>
      </c>
      <c r="J11" s="27">
        <f t="shared" si="0"/>
        <v>5000000</v>
      </c>
      <c r="K11" s="23">
        <f>K10+J11</f>
        <v>5000000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398" t="s">
        <v>531</v>
      </c>
      <c r="B13" s="59"/>
      <c r="C13" s="59"/>
      <c r="D13" s="59"/>
      <c r="E13" s="59"/>
      <c r="F13" s="59"/>
      <c r="G13" s="59">
        <v>500000</v>
      </c>
      <c r="H13" s="59"/>
      <c r="I13" s="59"/>
      <c r="J13" s="8">
        <f>SUM(B13:I13)</f>
        <v>500000</v>
      </c>
      <c r="K13" s="67">
        <f>J13</f>
        <v>500000</v>
      </c>
    </row>
    <row r="14" spans="1:11" x14ac:dyDescent="0.25">
      <c r="A14" s="400" t="s">
        <v>543</v>
      </c>
      <c r="B14" s="8"/>
      <c r="C14" s="8"/>
      <c r="D14" s="8"/>
      <c r="E14" s="8"/>
      <c r="F14" s="8">
        <v>900000</v>
      </c>
      <c r="G14" s="8"/>
      <c r="H14" s="16"/>
      <c r="I14" s="16"/>
      <c r="J14" s="8">
        <f>SUM(B14:I14)</f>
        <v>900000</v>
      </c>
      <c r="K14" s="8">
        <f>+K13+J14</f>
        <v>1400000</v>
      </c>
    </row>
    <row r="15" spans="1:11" x14ac:dyDescent="0.25">
      <c r="A15" s="400" t="s">
        <v>553</v>
      </c>
      <c r="B15" s="8"/>
      <c r="C15" s="8"/>
      <c r="D15" s="8"/>
      <c r="E15" s="8"/>
      <c r="F15" s="234">
        <v>900000</v>
      </c>
      <c r="G15" s="8"/>
      <c r="H15" s="8"/>
      <c r="I15" s="8"/>
      <c r="J15" s="8">
        <f>SUM(B15:I15)</f>
        <v>900000</v>
      </c>
      <c r="K15" s="8">
        <f>+K14+J15</f>
        <v>2300000</v>
      </c>
    </row>
    <row r="16" spans="1:11" ht="15.75" thickBot="1" x14ac:dyDescent="0.3">
      <c r="A16" s="507" t="s">
        <v>552</v>
      </c>
      <c r="B16" s="10"/>
      <c r="C16" s="10"/>
      <c r="D16" s="10"/>
      <c r="E16" s="10"/>
      <c r="F16" s="10">
        <v>450000</v>
      </c>
      <c r="G16" s="10"/>
      <c r="H16" s="3"/>
      <c r="I16" s="3"/>
      <c r="J16" s="10">
        <f>SUM(B16:I16)</f>
        <v>450000</v>
      </c>
      <c r="K16" s="10">
        <f>+K15+J16</f>
        <v>2750000</v>
      </c>
    </row>
    <row r="17" spans="1:11" ht="15" customHeight="1" x14ac:dyDescent="0.25">
      <c r="A17" s="506" t="s">
        <v>65</v>
      </c>
      <c r="B17" s="318"/>
      <c r="C17" s="318"/>
      <c r="D17" s="318"/>
      <c r="E17" s="318"/>
      <c r="F17" s="80">
        <f>SUM(F13:F16)</f>
        <v>2250000</v>
      </c>
      <c r="G17" s="80">
        <f>SUM(G13:G16)</f>
        <v>500000</v>
      </c>
      <c r="H17" s="80"/>
      <c r="I17" s="80"/>
      <c r="J17" s="80">
        <f>SUM(J13:J16)</f>
        <v>2750000</v>
      </c>
      <c r="K17" s="80">
        <f>+K16</f>
        <v>2750000</v>
      </c>
    </row>
    <row r="18" spans="1:11" ht="15.75" customHeight="1" thickBot="1" x14ac:dyDescent="0.3">
      <c r="A18" s="507" t="s">
        <v>634</v>
      </c>
      <c r="B18" s="3"/>
      <c r="C18" s="3"/>
      <c r="D18" s="3"/>
      <c r="E18" s="3"/>
      <c r="F18" s="10"/>
      <c r="G18" s="3"/>
      <c r="H18" s="3"/>
      <c r="I18" s="10">
        <v>500000</v>
      </c>
      <c r="J18" s="10">
        <f>SUM(B18:I18)</f>
        <v>500000</v>
      </c>
      <c r="K18" s="10">
        <f>+K17+J18</f>
        <v>3250000</v>
      </c>
    </row>
    <row r="19" spans="1:11" ht="14.25" customHeight="1" x14ac:dyDescent="0.25">
      <c r="A19" s="506" t="s">
        <v>635</v>
      </c>
      <c r="B19" s="80"/>
      <c r="C19" s="80"/>
      <c r="D19" s="80"/>
      <c r="E19" s="80"/>
      <c r="F19" s="80">
        <f>SUM(F17:F18)</f>
        <v>2250000</v>
      </c>
      <c r="G19" s="80">
        <f>SUM(G17:G18)</f>
        <v>500000</v>
      </c>
      <c r="H19" s="80">
        <f>SUM(H17:H18)</f>
        <v>0</v>
      </c>
      <c r="I19" s="80">
        <f>SUM(I17:I18)</f>
        <v>500000</v>
      </c>
      <c r="J19" s="80">
        <f>SUM(J18)</f>
        <v>500000</v>
      </c>
      <c r="K19" s="80">
        <f>+K18</f>
        <v>3250000</v>
      </c>
    </row>
    <row r="20" spans="1:11" x14ac:dyDescent="0.25">
      <c r="A20" s="400" t="s">
        <v>881</v>
      </c>
      <c r="B20" s="16"/>
      <c r="C20" s="16"/>
      <c r="D20" s="16"/>
      <c r="E20" s="16"/>
      <c r="F20" s="8">
        <v>350000</v>
      </c>
      <c r="G20" s="16"/>
      <c r="H20" s="16"/>
      <c r="I20" s="16"/>
      <c r="J20" s="8">
        <f>SUM(F20:I20)</f>
        <v>350000</v>
      </c>
      <c r="K20" s="327">
        <f>K19+J20</f>
        <v>3600000</v>
      </c>
    </row>
    <row r="21" spans="1:11" x14ac:dyDescent="0.25">
      <c r="A21" s="399" t="s">
        <v>887</v>
      </c>
      <c r="B21" s="8"/>
      <c r="C21" s="8"/>
      <c r="D21" s="8"/>
      <c r="E21" s="16"/>
      <c r="F21" s="8">
        <v>350000</v>
      </c>
      <c r="G21" s="8"/>
      <c r="H21" s="8"/>
      <c r="I21" s="8"/>
      <c r="J21" s="8">
        <f>SUM(C21:I21)</f>
        <v>350000</v>
      </c>
      <c r="K21" s="327">
        <f>K20+J21</f>
        <v>3950000</v>
      </c>
    </row>
    <row r="22" spans="1:11" x14ac:dyDescent="0.25">
      <c r="A22" s="140" t="s">
        <v>888</v>
      </c>
      <c r="B22" s="80"/>
      <c r="C22" s="80"/>
      <c r="D22" s="80"/>
      <c r="E22" s="80"/>
      <c r="F22" s="81">
        <v>350000</v>
      </c>
      <c r="G22" s="80"/>
      <c r="H22" s="80"/>
      <c r="I22" s="80"/>
      <c r="J22" s="81">
        <f>SUM(J21)</f>
        <v>350000</v>
      </c>
      <c r="K22" s="327">
        <f>K21+J22</f>
        <v>4300000</v>
      </c>
    </row>
    <row r="23" spans="1:11" ht="15.75" thickBot="1" x14ac:dyDescent="0.3">
      <c r="A23" s="93" t="s">
        <v>889</v>
      </c>
      <c r="B23" s="217"/>
      <c r="C23" s="8"/>
      <c r="D23" s="8"/>
      <c r="E23" s="16"/>
      <c r="F23" s="8">
        <v>700000</v>
      </c>
      <c r="G23" s="8"/>
      <c r="H23" s="8"/>
      <c r="I23" s="8"/>
      <c r="J23" s="8">
        <f>SUM(F23:I23)</f>
        <v>700000</v>
      </c>
      <c r="K23" s="327">
        <f>K22+J23</f>
        <v>5000000</v>
      </c>
    </row>
    <row r="24" spans="1:11" ht="27" customHeight="1" thickBot="1" x14ac:dyDescent="0.3">
      <c r="A24" s="164" t="s">
        <v>0</v>
      </c>
      <c r="B24" s="83" t="s">
        <v>74</v>
      </c>
      <c r="C24" s="83"/>
      <c r="D24" s="332">
        <v>0</v>
      </c>
      <c r="E24" s="41"/>
      <c r="F24" s="333">
        <f>SUM(F19:F23)</f>
        <v>4000000</v>
      </c>
      <c r="G24" s="333">
        <f>SUM(G19:G23)</f>
        <v>500000</v>
      </c>
      <c r="H24" s="333">
        <f>SUM(H19:H23)</f>
        <v>0</v>
      </c>
      <c r="I24" s="333">
        <f>SUM(I19:I23)</f>
        <v>500000</v>
      </c>
      <c r="J24" s="83"/>
      <c r="K24" s="149">
        <f>+K23</f>
        <v>5000000</v>
      </c>
    </row>
    <row r="25" spans="1:11" ht="24.75" customHeight="1" x14ac:dyDescent="0.25">
      <c r="A25" t="s">
        <v>5</v>
      </c>
    </row>
    <row r="26" spans="1:11" x14ac:dyDescent="0.25">
      <c r="F26" s="327">
        <f>+F7-F24</f>
        <v>0</v>
      </c>
      <c r="G26" s="327">
        <f>+G7-G19</f>
        <v>0</v>
      </c>
      <c r="H26" s="327">
        <f>+H7-H19</f>
        <v>0</v>
      </c>
      <c r="I26" s="327">
        <f>+I7-I19</f>
        <v>0</v>
      </c>
      <c r="J26" s="98"/>
      <c r="K26" s="327">
        <f>SUM(F26:J26)</f>
        <v>0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52"/>
  <sheetViews>
    <sheetView view="pageLayout" topLeftCell="A68" zoomScaleNormal="100" workbookViewId="0">
      <selection activeCell="I83" sqref="I83"/>
    </sheetView>
  </sheetViews>
  <sheetFormatPr baseColWidth="10" defaultColWidth="11.42578125" defaultRowHeight="15" x14ac:dyDescent="0.25"/>
  <cols>
    <col min="1" max="1" width="12.5703125" customWidth="1"/>
    <col min="2" max="2" width="10.42578125" customWidth="1"/>
    <col min="3" max="3" width="11.5703125" customWidth="1"/>
    <col min="4" max="4" width="11.42578125" customWidth="1"/>
    <col min="5" max="5" width="11.140625" customWidth="1"/>
    <col min="6" max="6" width="12.5703125" customWidth="1"/>
    <col min="7" max="7" width="13.140625" customWidth="1"/>
    <col min="8" max="8" width="12.7109375" customWidth="1"/>
    <col min="9" max="9" width="10" customWidth="1"/>
    <col min="10" max="10" width="11.85546875" customWidth="1"/>
    <col min="11" max="11" width="13" customWidth="1"/>
    <col min="12" max="12" width="12.42578125" customWidth="1"/>
    <col min="13" max="13" width="13" customWidth="1"/>
  </cols>
  <sheetData>
    <row r="1" spans="1:11" x14ac:dyDescent="0.25">
      <c r="A1" t="s">
        <v>9</v>
      </c>
      <c r="E1" t="s">
        <v>50</v>
      </c>
      <c r="I1" t="s">
        <v>14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60012</v>
      </c>
      <c r="I3" t="s">
        <v>75</v>
      </c>
    </row>
    <row r="4" spans="1:11" x14ac:dyDescent="0.25">
      <c r="E4" t="s">
        <v>6</v>
      </c>
      <c r="F4" s="13" t="s">
        <v>23</v>
      </c>
    </row>
    <row r="5" spans="1:11" ht="15.75" thickBot="1" x14ac:dyDescent="0.3"/>
    <row r="6" spans="1:11" ht="30" customHeight="1" thickBot="1" x14ac:dyDescent="0.35">
      <c r="A6" s="39" t="s">
        <v>1</v>
      </c>
      <c r="B6" s="48"/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7</v>
      </c>
      <c r="I6" s="48"/>
      <c r="J6" s="43" t="s">
        <v>16</v>
      </c>
      <c r="K6" s="40" t="s">
        <v>17</v>
      </c>
    </row>
    <row r="7" spans="1:11" ht="26.25" x14ac:dyDescent="0.25">
      <c r="A7" s="30" t="s">
        <v>18</v>
      </c>
      <c r="B7" s="101"/>
      <c r="C7" s="102">
        <v>4728000</v>
      </c>
      <c r="D7" s="102">
        <v>453000</v>
      </c>
      <c r="E7" s="102">
        <v>200000</v>
      </c>
      <c r="F7" s="102">
        <v>5500000</v>
      </c>
      <c r="G7" s="102">
        <v>1650000</v>
      </c>
      <c r="H7" s="102">
        <v>4000000</v>
      </c>
      <c r="I7" s="102"/>
      <c r="J7" s="103">
        <f>SUM(B7:I7)</f>
        <v>16531000</v>
      </c>
      <c r="K7" s="104">
        <f>J7</f>
        <v>16531000</v>
      </c>
    </row>
    <row r="8" spans="1:11" ht="39" x14ac:dyDescent="0.25">
      <c r="A8" s="31" t="s">
        <v>19</v>
      </c>
      <c r="B8" s="143"/>
      <c r="C8" s="111"/>
      <c r="D8" s="112"/>
      <c r="E8" s="111"/>
      <c r="F8" s="111"/>
      <c r="G8" s="111"/>
      <c r="H8" s="111"/>
      <c r="I8" s="111"/>
      <c r="J8" s="112">
        <f>SUM(B8:I8)</f>
        <v>0</v>
      </c>
      <c r="K8" s="107"/>
    </row>
    <row r="9" spans="1:11" x14ac:dyDescent="0.25">
      <c r="A9" s="32" t="s">
        <v>2</v>
      </c>
      <c r="B9" s="144"/>
      <c r="C9" s="113"/>
      <c r="D9" s="113"/>
      <c r="E9" s="113"/>
      <c r="F9" s="113"/>
      <c r="G9" s="113"/>
      <c r="H9" s="113"/>
      <c r="I9" s="113"/>
      <c r="J9" s="113">
        <v>0</v>
      </c>
      <c r="K9" s="107">
        <f>K8+J9</f>
        <v>0</v>
      </c>
    </row>
    <row r="10" spans="1:11" x14ac:dyDescent="0.25">
      <c r="A10" s="32" t="s">
        <v>3</v>
      </c>
      <c r="B10" s="144"/>
      <c r="C10" s="113"/>
      <c r="D10" s="113"/>
      <c r="E10" s="113"/>
      <c r="F10" s="113"/>
      <c r="G10" s="113"/>
      <c r="H10" s="113"/>
      <c r="I10" s="113"/>
      <c r="J10" s="113">
        <v>0</v>
      </c>
      <c r="K10" s="107">
        <f>K9+J10</f>
        <v>0</v>
      </c>
    </row>
    <row r="11" spans="1:11" ht="27" thickBot="1" x14ac:dyDescent="0.3">
      <c r="A11" s="33" t="s">
        <v>20</v>
      </c>
      <c r="B11" s="105">
        <f t="shared" ref="B11:J11" si="0">SUM(B7:B10)</f>
        <v>0</v>
      </c>
      <c r="C11" s="106">
        <f t="shared" si="0"/>
        <v>4728000</v>
      </c>
      <c r="D11" s="106">
        <f t="shared" si="0"/>
        <v>453000</v>
      </c>
      <c r="E11" s="106">
        <f t="shared" si="0"/>
        <v>200000</v>
      </c>
      <c r="F11" s="106">
        <f t="shared" si="0"/>
        <v>5500000</v>
      </c>
      <c r="G11" s="106">
        <f t="shared" si="0"/>
        <v>1650000</v>
      </c>
      <c r="H11" s="106">
        <f t="shared" si="0"/>
        <v>4000000</v>
      </c>
      <c r="I11" s="106">
        <f t="shared" si="0"/>
        <v>0</v>
      </c>
      <c r="J11" s="106">
        <f t="shared" si="0"/>
        <v>16531000</v>
      </c>
      <c r="K11" s="107">
        <f>K10+J11</f>
        <v>16531000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158" t="s">
        <v>532</v>
      </c>
      <c r="B13" s="59"/>
      <c r="C13" s="59"/>
      <c r="D13" s="59"/>
      <c r="E13" s="59"/>
      <c r="F13" s="59"/>
      <c r="G13" s="59">
        <v>900000</v>
      </c>
      <c r="H13" s="59"/>
      <c r="I13" s="59"/>
      <c r="J13" s="59">
        <f>SUM(C13:I13)</f>
        <v>900000</v>
      </c>
      <c r="K13" s="67">
        <f>+J13</f>
        <v>900000</v>
      </c>
    </row>
    <row r="14" spans="1:11" x14ac:dyDescent="0.25">
      <c r="A14" s="158" t="s">
        <v>533</v>
      </c>
      <c r="B14" s="8"/>
      <c r="C14" s="8"/>
      <c r="D14" s="16"/>
      <c r="E14" s="16"/>
      <c r="F14" s="8"/>
      <c r="G14" s="8">
        <v>750000</v>
      </c>
      <c r="H14" s="16"/>
      <c r="I14" s="16"/>
      <c r="J14" s="8">
        <f t="shared" ref="J14:J24" si="1">SUM(C14:I14)</f>
        <v>750000</v>
      </c>
      <c r="K14" s="8">
        <f t="shared" ref="K14:K19" si="2">+K13+J14</f>
        <v>1650000</v>
      </c>
    </row>
    <row r="15" spans="1:11" x14ac:dyDescent="0.25">
      <c r="A15" s="108" t="s">
        <v>544</v>
      </c>
      <c r="B15" s="64"/>
      <c r="C15" s="64"/>
      <c r="D15" s="64"/>
      <c r="E15" s="64"/>
      <c r="F15" s="64">
        <v>600000</v>
      </c>
      <c r="G15" s="64"/>
      <c r="H15" s="64"/>
      <c r="I15" s="64"/>
      <c r="J15" s="8">
        <f t="shared" si="1"/>
        <v>600000</v>
      </c>
      <c r="K15" s="8">
        <f t="shared" si="2"/>
        <v>2250000</v>
      </c>
    </row>
    <row r="16" spans="1:11" x14ac:dyDescent="0.25">
      <c r="A16" s="108" t="s">
        <v>551</v>
      </c>
      <c r="B16" s="8"/>
      <c r="C16" s="8"/>
      <c r="D16" s="8"/>
      <c r="E16" s="8"/>
      <c r="F16" s="8">
        <v>300000</v>
      </c>
      <c r="G16" s="8"/>
      <c r="H16" s="8"/>
      <c r="I16" s="8"/>
      <c r="J16" s="8">
        <f t="shared" si="1"/>
        <v>300000</v>
      </c>
      <c r="K16" s="8">
        <f t="shared" si="2"/>
        <v>2550000</v>
      </c>
    </row>
    <row r="17" spans="1:11" x14ac:dyDescent="0.25">
      <c r="A17" s="108" t="s">
        <v>554</v>
      </c>
      <c r="B17" s="8"/>
      <c r="C17" s="8"/>
      <c r="D17" s="8"/>
      <c r="E17" s="8"/>
      <c r="F17" s="8">
        <v>900000</v>
      </c>
      <c r="G17" s="8"/>
      <c r="H17" s="8"/>
      <c r="I17" s="8"/>
      <c r="J17" s="8">
        <f t="shared" si="1"/>
        <v>900000</v>
      </c>
      <c r="K17" s="8">
        <f t="shared" si="2"/>
        <v>3450000</v>
      </c>
    </row>
    <row r="18" spans="1:11" x14ac:dyDescent="0.25">
      <c r="A18" s="108" t="s">
        <v>555</v>
      </c>
      <c r="B18" s="8"/>
      <c r="C18" s="8"/>
      <c r="D18" s="8"/>
      <c r="E18" s="8"/>
      <c r="F18" s="8">
        <v>900000</v>
      </c>
      <c r="G18" s="8"/>
      <c r="H18" s="8"/>
      <c r="I18" s="8"/>
      <c r="J18" s="8">
        <f t="shared" si="1"/>
        <v>900000</v>
      </c>
      <c r="K18" s="8">
        <f t="shared" si="2"/>
        <v>4350000</v>
      </c>
    </row>
    <row r="19" spans="1:11" ht="15.75" customHeight="1" thickBot="1" x14ac:dyDescent="0.3">
      <c r="A19" s="521" t="s">
        <v>569</v>
      </c>
      <c r="B19" s="64"/>
      <c r="C19" s="64"/>
      <c r="D19" s="64"/>
      <c r="E19" s="64"/>
      <c r="F19" s="64">
        <v>700000</v>
      </c>
      <c r="G19" s="64"/>
      <c r="H19" s="64"/>
      <c r="I19" s="64"/>
      <c r="J19" s="64">
        <f t="shared" si="1"/>
        <v>700000</v>
      </c>
      <c r="K19" s="64">
        <f t="shared" si="2"/>
        <v>5050000</v>
      </c>
    </row>
    <row r="20" spans="1:11" x14ac:dyDescent="0.25">
      <c r="A20" s="87" t="s">
        <v>66</v>
      </c>
      <c r="B20" s="35"/>
      <c r="C20" s="35"/>
      <c r="D20" s="35"/>
      <c r="E20" s="35"/>
      <c r="F20" s="35">
        <f>SUM(F13:F19)</f>
        <v>3400000</v>
      </c>
      <c r="G20" s="35">
        <f>SUM(G13:G19)</f>
        <v>1650000</v>
      </c>
      <c r="H20" s="35"/>
      <c r="I20" s="35"/>
      <c r="J20" s="35">
        <f>SUM(J13:J19)</f>
        <v>5050000</v>
      </c>
      <c r="K20" s="12">
        <f>K19</f>
        <v>5050000</v>
      </c>
    </row>
    <row r="21" spans="1:11" x14ac:dyDescent="0.25">
      <c r="A21" s="88" t="s">
        <v>636</v>
      </c>
      <c r="B21" s="8"/>
      <c r="C21" s="8"/>
      <c r="D21" s="8"/>
      <c r="E21" s="8"/>
      <c r="F21" s="8"/>
      <c r="G21" s="8"/>
      <c r="H21" s="8">
        <v>4000000</v>
      </c>
      <c r="I21" s="8"/>
      <c r="J21" s="8">
        <f t="shared" si="1"/>
        <v>4000000</v>
      </c>
      <c r="K21" s="9">
        <f>+K20+J21</f>
        <v>9050000</v>
      </c>
    </row>
    <row r="22" spans="1:11" x14ac:dyDescent="0.25">
      <c r="A22" s="88" t="s">
        <v>665</v>
      </c>
      <c r="B22" s="8"/>
      <c r="C22" s="8">
        <v>344065</v>
      </c>
      <c r="D22" s="8"/>
      <c r="E22" s="8"/>
      <c r="F22" s="8"/>
      <c r="G22" s="8"/>
      <c r="H22" s="8"/>
      <c r="I22" s="8"/>
      <c r="J22" s="8">
        <f t="shared" si="1"/>
        <v>344065</v>
      </c>
      <c r="K22" s="9">
        <f>+K21+J22</f>
        <v>9394065</v>
      </c>
    </row>
    <row r="23" spans="1:11" x14ac:dyDescent="0.25">
      <c r="A23" s="85" t="s">
        <v>674</v>
      </c>
      <c r="B23" s="16"/>
      <c r="C23" s="8">
        <v>4391</v>
      </c>
      <c r="D23" s="16"/>
      <c r="E23" s="16"/>
      <c r="F23" s="16"/>
      <c r="G23" s="16"/>
      <c r="H23" s="16"/>
      <c r="I23" s="16"/>
      <c r="J23" s="8">
        <f t="shared" si="1"/>
        <v>4391</v>
      </c>
      <c r="K23" s="9">
        <f>+K22+J23</f>
        <v>9398456</v>
      </c>
    </row>
    <row r="24" spans="1:11" ht="15.75" thickBot="1" x14ac:dyDescent="0.3">
      <c r="A24" s="95" t="s">
        <v>681</v>
      </c>
      <c r="B24" s="10"/>
      <c r="C24" s="10">
        <v>17293</v>
      </c>
      <c r="D24" s="10"/>
      <c r="E24" s="3"/>
      <c r="F24" s="3"/>
      <c r="G24" s="3"/>
      <c r="H24" s="3"/>
      <c r="I24" s="3"/>
      <c r="J24" s="8">
        <f t="shared" si="1"/>
        <v>17293</v>
      </c>
      <c r="K24" s="9">
        <f>+K23+J24</f>
        <v>9415749</v>
      </c>
    </row>
    <row r="25" spans="1:11" ht="23.25" customHeight="1" thickBot="1" x14ac:dyDescent="0.3">
      <c r="A25" s="164" t="s">
        <v>0</v>
      </c>
      <c r="B25" s="83">
        <v>0</v>
      </c>
      <c r="C25" s="83">
        <f>SUM(C20:C24)</f>
        <v>365749</v>
      </c>
      <c r="D25" s="83">
        <f t="shared" ref="D25:I25" si="3">SUM(D20:D24)</f>
        <v>0</v>
      </c>
      <c r="E25" s="83">
        <f t="shared" si="3"/>
        <v>0</v>
      </c>
      <c r="F25" s="83">
        <f t="shared" si="3"/>
        <v>3400000</v>
      </c>
      <c r="G25" s="83">
        <f t="shared" si="3"/>
        <v>1650000</v>
      </c>
      <c r="H25" s="83">
        <f t="shared" si="3"/>
        <v>4000000</v>
      </c>
      <c r="I25" s="83">
        <f t="shared" si="3"/>
        <v>0</v>
      </c>
      <c r="J25" s="83">
        <f>SUM(J21:J24)</f>
        <v>4365749</v>
      </c>
      <c r="K25" s="149">
        <f>+K24</f>
        <v>9415749</v>
      </c>
    </row>
    <row r="26" spans="1:11" x14ac:dyDescent="0.25">
      <c r="A26" t="s">
        <v>5</v>
      </c>
      <c r="D26" s="72"/>
    </row>
    <row r="27" spans="1:11" x14ac:dyDescent="0.25">
      <c r="A27" s="98"/>
      <c r="B27" s="98"/>
      <c r="C27" s="327">
        <f>C11-C25-C20</f>
        <v>4362251</v>
      </c>
      <c r="D27" s="327">
        <f t="shared" ref="D27:I27" si="4">D11-D25-D20</f>
        <v>453000</v>
      </c>
      <c r="E27" s="327">
        <f t="shared" si="4"/>
        <v>200000</v>
      </c>
      <c r="F27" s="327">
        <f t="shared" si="4"/>
        <v>-1300000</v>
      </c>
      <c r="G27" s="327">
        <f t="shared" si="4"/>
        <v>-1650000</v>
      </c>
      <c r="H27" s="327">
        <f t="shared" si="4"/>
        <v>0</v>
      </c>
      <c r="I27" s="327">
        <f t="shared" si="4"/>
        <v>0</v>
      </c>
      <c r="J27" s="98"/>
      <c r="K27" s="327">
        <f>SUM(C27:J27)</f>
        <v>2065251</v>
      </c>
    </row>
    <row r="28" spans="1:11" x14ac:dyDescent="0.25">
      <c r="A28" t="s">
        <v>9</v>
      </c>
      <c r="E28" t="s">
        <v>50</v>
      </c>
      <c r="I28" t="s">
        <v>45</v>
      </c>
    </row>
    <row r="29" spans="1:11" x14ac:dyDescent="0.25">
      <c r="A29" t="s">
        <v>44</v>
      </c>
    </row>
    <row r="30" spans="1:11" x14ac:dyDescent="0.25">
      <c r="E30" t="s">
        <v>13</v>
      </c>
      <c r="F30" s="13">
        <v>60012</v>
      </c>
      <c r="I30" t="s">
        <v>75</v>
      </c>
    </row>
    <row r="31" spans="1:11" x14ac:dyDescent="0.25">
      <c r="E31" t="s">
        <v>6</v>
      </c>
      <c r="F31" s="13" t="s">
        <v>23</v>
      </c>
    </row>
    <row r="32" spans="1:11" ht="15.75" thickBot="1" x14ac:dyDescent="0.3"/>
    <row r="33" spans="1:11" ht="30.75" thickBot="1" x14ac:dyDescent="0.3">
      <c r="A33" s="75" t="s">
        <v>42</v>
      </c>
      <c r="B33" s="4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7</v>
      </c>
      <c r="I33" s="45"/>
      <c r="J33" s="51" t="s">
        <v>16</v>
      </c>
      <c r="K33" s="40" t="s">
        <v>17</v>
      </c>
    </row>
    <row r="34" spans="1:11" x14ac:dyDescent="0.25">
      <c r="A34" s="76" t="s">
        <v>43</v>
      </c>
      <c r="B34" s="35"/>
      <c r="C34" s="35">
        <f t="shared" ref="C34:K34" si="5">+C25</f>
        <v>365749</v>
      </c>
      <c r="D34" s="35">
        <f t="shared" si="5"/>
        <v>0</v>
      </c>
      <c r="E34" s="35">
        <f t="shared" si="5"/>
        <v>0</v>
      </c>
      <c r="F34" s="35">
        <f t="shared" si="5"/>
        <v>3400000</v>
      </c>
      <c r="G34" s="35">
        <f t="shared" si="5"/>
        <v>1650000</v>
      </c>
      <c r="H34" s="35">
        <f t="shared" si="5"/>
        <v>4000000</v>
      </c>
      <c r="I34" s="35">
        <f t="shared" si="5"/>
        <v>0</v>
      </c>
      <c r="J34" s="35">
        <f t="shared" si="5"/>
        <v>4365749</v>
      </c>
      <c r="K34" s="35">
        <f t="shared" si="5"/>
        <v>9415749</v>
      </c>
    </row>
    <row r="35" spans="1:11" x14ac:dyDescent="0.25">
      <c r="A35" s="88" t="s">
        <v>687</v>
      </c>
      <c r="B35" s="8"/>
      <c r="C35" s="8">
        <v>2952809</v>
      </c>
      <c r="D35" s="8"/>
      <c r="E35" s="8"/>
      <c r="F35" s="8"/>
      <c r="G35" s="8"/>
      <c r="H35" s="81"/>
      <c r="I35" s="8"/>
      <c r="J35" s="8">
        <f>SUM(B35:I35)</f>
        <v>2952809</v>
      </c>
      <c r="K35" s="9">
        <f>+K34+J35</f>
        <v>12368558</v>
      </c>
    </row>
    <row r="36" spans="1:11" x14ac:dyDescent="0.25">
      <c r="A36" s="88" t="s">
        <v>690</v>
      </c>
      <c r="B36" s="8"/>
      <c r="C36" s="163">
        <v>32924</v>
      </c>
      <c r="D36" s="8"/>
      <c r="E36" s="8"/>
      <c r="F36" s="8"/>
      <c r="G36" s="8"/>
      <c r="H36" s="8"/>
      <c r="I36" s="8"/>
      <c r="J36" s="8">
        <f>SUM(B36:I36)</f>
        <v>32924</v>
      </c>
      <c r="K36" s="9">
        <f>+K35+J36</f>
        <v>12401482</v>
      </c>
    </row>
    <row r="37" spans="1:11" x14ac:dyDescent="0.25">
      <c r="A37" s="61" t="s">
        <v>694</v>
      </c>
      <c r="B37" s="8"/>
      <c r="C37" s="8">
        <v>138353</v>
      </c>
      <c r="D37" s="8"/>
      <c r="E37" s="8"/>
      <c r="F37" s="8"/>
      <c r="G37" s="8"/>
      <c r="H37" s="8"/>
      <c r="I37" s="8"/>
      <c r="J37" s="8">
        <f>SUM(B37:I37)</f>
        <v>138353</v>
      </c>
      <c r="K37" s="9">
        <f>+K36+J37</f>
        <v>12539835</v>
      </c>
    </row>
    <row r="38" spans="1:11" x14ac:dyDescent="0.25">
      <c r="A38" s="145" t="s">
        <v>696</v>
      </c>
      <c r="B38" s="80"/>
      <c r="C38" s="80"/>
      <c r="D38" s="81">
        <v>259560</v>
      </c>
      <c r="E38" s="81"/>
      <c r="F38" s="81"/>
      <c r="G38" s="81"/>
      <c r="H38" s="81"/>
      <c r="I38" s="81"/>
      <c r="J38" s="8">
        <f>SUM(B38:I38)</f>
        <v>259560</v>
      </c>
      <c r="K38" s="9">
        <f>+K37+J38</f>
        <v>12799395</v>
      </c>
    </row>
    <row r="39" spans="1:11" ht="15.75" thickBot="1" x14ac:dyDescent="0.3">
      <c r="A39" s="73" t="s">
        <v>700</v>
      </c>
      <c r="B39" s="10"/>
      <c r="C39" s="10"/>
      <c r="D39" s="10">
        <v>37411</v>
      </c>
      <c r="E39" s="10"/>
      <c r="F39" s="10"/>
      <c r="G39" s="10"/>
      <c r="H39" s="10"/>
      <c r="I39" s="10"/>
      <c r="J39" s="10">
        <f>SUM(B39:I39)</f>
        <v>37411</v>
      </c>
      <c r="K39" s="11">
        <f>+K38+J39</f>
        <v>12836806</v>
      </c>
    </row>
    <row r="40" spans="1:11" x14ac:dyDescent="0.25">
      <c r="A40" s="79" t="s">
        <v>69</v>
      </c>
      <c r="B40" s="80"/>
      <c r="C40" s="80">
        <f t="shared" ref="C40:J40" si="6">SUM(C34:C39)</f>
        <v>3489835</v>
      </c>
      <c r="D40" s="80">
        <f t="shared" si="6"/>
        <v>296971</v>
      </c>
      <c r="E40" s="80">
        <f t="shared" si="6"/>
        <v>0</v>
      </c>
      <c r="F40" s="80">
        <f t="shared" si="6"/>
        <v>3400000</v>
      </c>
      <c r="G40" s="80">
        <f t="shared" si="6"/>
        <v>1650000</v>
      </c>
      <c r="H40" s="80">
        <f t="shared" si="6"/>
        <v>4000000</v>
      </c>
      <c r="I40" s="80">
        <f t="shared" si="6"/>
        <v>0</v>
      </c>
      <c r="J40" s="84">
        <f t="shared" si="6"/>
        <v>7786806</v>
      </c>
      <c r="K40" s="82">
        <f>+K39</f>
        <v>12836806</v>
      </c>
    </row>
    <row r="41" spans="1:11" x14ac:dyDescent="0.25">
      <c r="A41" s="183" t="s">
        <v>742</v>
      </c>
      <c r="B41" s="184"/>
      <c r="C41" s="176">
        <v>98592</v>
      </c>
      <c r="D41" s="185"/>
      <c r="E41" s="185"/>
      <c r="F41" s="176"/>
      <c r="G41" s="176"/>
      <c r="H41" s="8"/>
      <c r="I41" s="16"/>
      <c r="J41" s="187">
        <f>SUM(C41:I41)</f>
        <v>98592</v>
      </c>
      <c r="K41" s="9">
        <f>K40+J41</f>
        <v>12935398</v>
      </c>
    </row>
    <row r="42" spans="1:11" x14ac:dyDescent="0.25">
      <c r="A42" s="63" t="s">
        <v>743</v>
      </c>
      <c r="B42" s="522"/>
      <c r="C42" s="175">
        <v>152349</v>
      </c>
      <c r="D42" s="317"/>
      <c r="E42" s="317"/>
      <c r="F42" s="175"/>
      <c r="G42" s="175"/>
      <c r="H42" s="64"/>
      <c r="I42" s="70"/>
      <c r="J42" s="523">
        <f t="shared" ref="J42:J54" si="7">SUM(C42:I42)</f>
        <v>152349</v>
      </c>
      <c r="K42" s="9">
        <f t="shared" ref="K42:K51" si="8">K41+J42</f>
        <v>13087747</v>
      </c>
    </row>
    <row r="43" spans="1:11" x14ac:dyDescent="0.25">
      <c r="A43" s="436" t="s">
        <v>744</v>
      </c>
      <c r="B43" s="524"/>
      <c r="C43" s="203">
        <v>87885</v>
      </c>
      <c r="D43" s="223"/>
      <c r="E43" s="223"/>
      <c r="F43" s="223"/>
      <c r="G43" s="223"/>
      <c r="H43" s="223"/>
      <c r="I43" s="223"/>
      <c r="J43" s="523">
        <f t="shared" si="7"/>
        <v>87885</v>
      </c>
      <c r="K43" s="9">
        <f t="shared" si="8"/>
        <v>13175632</v>
      </c>
    </row>
    <row r="44" spans="1:11" x14ac:dyDescent="0.25">
      <c r="A44" s="323" t="s">
        <v>766</v>
      </c>
      <c r="B44" s="178"/>
      <c r="C44" s="8">
        <v>4391</v>
      </c>
      <c r="D44" s="8"/>
      <c r="E44" s="8"/>
      <c r="F44" s="8"/>
      <c r="G44" s="8"/>
      <c r="H44" s="8"/>
      <c r="I44" s="8"/>
      <c r="J44" s="523">
        <f t="shared" si="7"/>
        <v>4391</v>
      </c>
      <c r="K44" s="9">
        <f t="shared" si="8"/>
        <v>13180023</v>
      </c>
    </row>
    <row r="45" spans="1:11" x14ac:dyDescent="0.25">
      <c r="A45" s="348" t="s">
        <v>767</v>
      </c>
      <c r="B45" s="179"/>
      <c r="C45" s="64">
        <v>17293</v>
      </c>
      <c r="D45" s="70"/>
      <c r="E45" s="70"/>
      <c r="F45" s="64"/>
      <c r="G45" s="64"/>
      <c r="H45" s="64"/>
      <c r="I45" s="70"/>
      <c r="J45" s="60">
        <f t="shared" si="7"/>
        <v>17293</v>
      </c>
      <c r="K45" s="9">
        <f t="shared" si="8"/>
        <v>13197316</v>
      </c>
    </row>
    <row r="46" spans="1:11" ht="15.75" thickBot="1" x14ac:dyDescent="0.3">
      <c r="A46" s="292" t="s">
        <v>768</v>
      </c>
      <c r="B46" s="182"/>
      <c r="C46" s="10"/>
      <c r="D46" s="10">
        <v>37411</v>
      </c>
      <c r="E46" s="10"/>
      <c r="F46" s="10"/>
      <c r="G46" s="536"/>
      <c r="H46" s="10"/>
      <c r="I46" s="10"/>
      <c r="J46" s="186">
        <f t="shared" si="7"/>
        <v>37411</v>
      </c>
      <c r="K46" s="11">
        <f t="shared" si="8"/>
        <v>13234727</v>
      </c>
    </row>
    <row r="47" spans="1:11" x14ac:dyDescent="0.25">
      <c r="A47" s="265" t="s">
        <v>70</v>
      </c>
      <c r="B47" s="181"/>
      <c r="C47" s="80">
        <f>SUM(C40:C46)</f>
        <v>3850345</v>
      </c>
      <c r="D47" s="80">
        <f t="shared" ref="D47:I47" si="9">SUM(D40:D46)</f>
        <v>334382</v>
      </c>
      <c r="E47" s="80">
        <f t="shared" si="9"/>
        <v>0</v>
      </c>
      <c r="F47" s="80">
        <f t="shared" si="9"/>
        <v>3400000</v>
      </c>
      <c r="G47" s="80">
        <f t="shared" si="9"/>
        <v>1650000</v>
      </c>
      <c r="H47" s="80">
        <f t="shared" si="9"/>
        <v>4000000</v>
      </c>
      <c r="I47" s="80">
        <f t="shared" si="9"/>
        <v>0</v>
      </c>
      <c r="J47" s="84">
        <f>SUM(J41:J46)</f>
        <v>397921</v>
      </c>
      <c r="K47" s="82">
        <f>+K46</f>
        <v>13234727</v>
      </c>
    </row>
    <row r="48" spans="1:11" x14ac:dyDescent="0.25">
      <c r="A48" s="62" t="s">
        <v>799</v>
      </c>
      <c r="B48" s="180"/>
      <c r="C48" s="8">
        <v>338826</v>
      </c>
      <c r="D48" s="8"/>
      <c r="E48" s="8"/>
      <c r="F48" s="8"/>
      <c r="G48" s="8"/>
      <c r="H48" s="8"/>
      <c r="I48" s="16"/>
      <c r="J48" s="60">
        <f t="shared" si="7"/>
        <v>338826</v>
      </c>
      <c r="K48" s="9">
        <f t="shared" si="8"/>
        <v>13573553</v>
      </c>
    </row>
    <row r="49" spans="1:11" x14ac:dyDescent="0.25">
      <c r="A49" s="256" t="s">
        <v>808</v>
      </c>
      <c r="B49" s="298"/>
      <c r="C49" s="258">
        <v>4391</v>
      </c>
      <c r="D49" s="258"/>
      <c r="E49" s="258"/>
      <c r="F49" s="258"/>
      <c r="G49" s="258"/>
      <c r="H49" s="258"/>
      <c r="I49" s="258"/>
      <c r="J49" s="543">
        <f t="shared" si="7"/>
        <v>4391</v>
      </c>
      <c r="K49" s="9">
        <f t="shared" si="8"/>
        <v>13577944</v>
      </c>
    </row>
    <row r="50" spans="1:11" x14ac:dyDescent="0.25">
      <c r="A50" s="62" t="s">
        <v>816</v>
      </c>
      <c r="B50" s="178"/>
      <c r="C50" s="8">
        <v>17293</v>
      </c>
      <c r="D50" s="8"/>
      <c r="E50" s="8"/>
      <c r="F50" s="8"/>
      <c r="G50" s="8"/>
      <c r="H50" s="8"/>
      <c r="I50" s="8"/>
      <c r="J50" s="60">
        <f t="shared" si="7"/>
        <v>17293</v>
      </c>
      <c r="K50" s="9">
        <f t="shared" si="8"/>
        <v>13595237</v>
      </c>
    </row>
    <row r="51" spans="1:11" x14ac:dyDescent="0.25">
      <c r="A51" s="62" t="s">
        <v>817</v>
      </c>
      <c r="B51" s="178"/>
      <c r="C51" s="8"/>
      <c r="D51" s="8">
        <v>37411</v>
      </c>
      <c r="E51" s="8"/>
      <c r="F51" s="8"/>
      <c r="G51" s="8"/>
      <c r="H51" s="8"/>
      <c r="I51" s="8"/>
      <c r="J51" s="60">
        <f t="shared" si="7"/>
        <v>37411</v>
      </c>
      <c r="K51" s="9">
        <f t="shared" si="8"/>
        <v>13632648</v>
      </c>
    </row>
    <row r="52" spans="1:11" x14ac:dyDescent="0.25">
      <c r="A52" s="145" t="s">
        <v>834</v>
      </c>
      <c r="B52" s="243"/>
      <c r="C52" s="81">
        <v>98592</v>
      </c>
      <c r="D52" s="81"/>
      <c r="E52" s="81"/>
      <c r="F52" s="81"/>
      <c r="G52" s="81"/>
      <c r="H52" s="81"/>
      <c r="I52" s="81"/>
      <c r="J52" s="60">
        <f t="shared" si="7"/>
        <v>98592</v>
      </c>
      <c r="K52" s="9">
        <f>+K51+J52</f>
        <v>13731240</v>
      </c>
    </row>
    <row r="53" spans="1:11" x14ac:dyDescent="0.25">
      <c r="A53" s="62" t="s">
        <v>835</v>
      </c>
      <c r="B53" s="178"/>
      <c r="C53" s="8">
        <v>152349</v>
      </c>
      <c r="D53" s="8"/>
      <c r="E53" s="8"/>
      <c r="F53" s="8"/>
      <c r="G53" s="8"/>
      <c r="H53" s="8"/>
      <c r="I53" s="8"/>
      <c r="J53" s="60">
        <f t="shared" si="7"/>
        <v>152349</v>
      </c>
      <c r="K53" s="9">
        <f>+K52+J53</f>
        <v>13883589</v>
      </c>
    </row>
    <row r="54" spans="1:11" ht="15.75" thickBot="1" x14ac:dyDescent="0.3">
      <c r="A54" s="73" t="s">
        <v>836</v>
      </c>
      <c r="B54" s="182"/>
      <c r="C54" s="10">
        <v>87885</v>
      </c>
      <c r="D54" s="10"/>
      <c r="E54" s="3"/>
      <c r="F54" s="10"/>
      <c r="G54" s="10"/>
      <c r="H54" s="10"/>
      <c r="I54" s="3"/>
      <c r="J54" s="186">
        <f t="shared" si="7"/>
        <v>87885</v>
      </c>
      <c r="K54" s="11">
        <f>+K53+J54</f>
        <v>13971474</v>
      </c>
    </row>
    <row r="55" spans="1:11" ht="15.75" thickBot="1" x14ac:dyDescent="0.3">
      <c r="A55" s="544"/>
      <c r="B55" s="545"/>
      <c r="C55" s="38">
        <f>SUM(C47:C54)</f>
        <v>4549681</v>
      </c>
      <c r="D55" s="38">
        <f t="shared" ref="D55:I55" si="10">SUM(D47:D54)</f>
        <v>371793</v>
      </c>
      <c r="E55" s="38">
        <f t="shared" si="10"/>
        <v>0</v>
      </c>
      <c r="F55" s="38">
        <f t="shared" si="10"/>
        <v>3400000</v>
      </c>
      <c r="G55" s="38">
        <f t="shared" si="10"/>
        <v>1650000</v>
      </c>
      <c r="H55" s="38">
        <f t="shared" si="10"/>
        <v>4000000</v>
      </c>
      <c r="I55" s="38">
        <f t="shared" si="10"/>
        <v>0</v>
      </c>
      <c r="J55" s="15">
        <f>SUM(J50:J54)</f>
        <v>393530</v>
      </c>
      <c r="K55" s="14">
        <f>+K54</f>
        <v>13971474</v>
      </c>
    </row>
    <row r="56" spans="1:11" ht="15.75" thickBot="1" x14ac:dyDescent="0.3">
      <c r="A56" t="s">
        <v>5</v>
      </c>
    </row>
    <row r="57" spans="1:11" ht="15.75" thickBot="1" x14ac:dyDescent="0.3">
      <c r="A57" s="325"/>
      <c r="B57" s="325"/>
      <c r="C57" s="326">
        <f>C11-C55</f>
        <v>178319</v>
      </c>
      <c r="D57" s="326">
        <f t="shared" ref="D57:I57" si="11">D11-D55</f>
        <v>81207</v>
      </c>
      <c r="E57" s="326">
        <f t="shared" si="11"/>
        <v>200000</v>
      </c>
      <c r="F57" s="326">
        <f t="shared" si="11"/>
        <v>2100000</v>
      </c>
      <c r="G57" s="326">
        <f t="shared" si="11"/>
        <v>0</v>
      </c>
      <c r="H57" s="326">
        <f t="shared" si="11"/>
        <v>0</v>
      </c>
      <c r="I57" s="326">
        <f t="shared" si="11"/>
        <v>0</v>
      </c>
      <c r="J57" s="325"/>
      <c r="K57" s="326">
        <f>SUM(C57:J57)</f>
        <v>2559526</v>
      </c>
    </row>
    <row r="58" spans="1:11" x14ac:dyDescent="0.25">
      <c r="A58" s="146"/>
      <c r="B58" s="146"/>
      <c r="C58" s="344"/>
      <c r="D58" s="344"/>
      <c r="E58" s="344"/>
      <c r="F58" s="344"/>
      <c r="G58" s="344"/>
      <c r="H58" s="344"/>
      <c r="I58" s="344"/>
      <c r="J58" s="146"/>
      <c r="K58" s="344"/>
    </row>
    <row r="59" spans="1:11" x14ac:dyDescent="0.25">
      <c r="A59" s="146"/>
      <c r="B59" s="146"/>
      <c r="C59" s="344"/>
      <c r="D59" s="344"/>
      <c r="E59" s="344"/>
      <c r="F59" s="344"/>
      <c r="G59" s="344"/>
      <c r="H59" s="344"/>
      <c r="I59" s="344"/>
      <c r="J59" s="146"/>
      <c r="K59" s="344"/>
    </row>
    <row r="60" spans="1:11" x14ac:dyDescent="0.25">
      <c r="A60" t="s">
        <v>9</v>
      </c>
      <c r="E60" t="s">
        <v>50</v>
      </c>
      <c r="I60" t="s">
        <v>45</v>
      </c>
    </row>
    <row r="61" spans="1:11" x14ac:dyDescent="0.25">
      <c r="A61" t="s">
        <v>44</v>
      </c>
    </row>
    <row r="62" spans="1:11" x14ac:dyDescent="0.25">
      <c r="E62" t="s">
        <v>13</v>
      </c>
      <c r="F62" s="13">
        <v>60012</v>
      </c>
      <c r="I62" t="s">
        <v>75</v>
      </c>
    </row>
    <row r="63" spans="1:11" x14ac:dyDescent="0.25">
      <c r="E63" t="s">
        <v>6</v>
      </c>
      <c r="F63" s="13" t="s">
        <v>23</v>
      </c>
    </row>
    <row r="64" spans="1:11" ht="15.75" thickBot="1" x14ac:dyDescent="0.3"/>
    <row r="65" spans="1:11" ht="30.75" thickBot="1" x14ac:dyDescent="0.3">
      <c r="A65" s="75" t="s">
        <v>42</v>
      </c>
      <c r="B65" s="4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>
        <v>7</v>
      </c>
      <c r="I65" s="45"/>
      <c r="J65" s="51" t="s">
        <v>16</v>
      </c>
      <c r="K65" s="40" t="s">
        <v>17</v>
      </c>
    </row>
    <row r="66" spans="1:11" x14ac:dyDescent="0.25">
      <c r="A66" s="76" t="s">
        <v>43</v>
      </c>
      <c r="B66" s="276"/>
      <c r="C66" s="35">
        <f t="shared" ref="C66:K66" si="12">+C55</f>
        <v>4549681</v>
      </c>
      <c r="D66" s="35">
        <f t="shared" si="12"/>
        <v>371793</v>
      </c>
      <c r="E66" s="35">
        <f t="shared" si="12"/>
        <v>0</v>
      </c>
      <c r="F66" s="35">
        <f t="shared" si="12"/>
        <v>3400000</v>
      </c>
      <c r="G66" s="35">
        <f t="shared" si="12"/>
        <v>1650000</v>
      </c>
      <c r="H66" s="35">
        <f t="shared" si="12"/>
        <v>4000000</v>
      </c>
      <c r="I66" s="35">
        <f t="shared" si="12"/>
        <v>0</v>
      </c>
      <c r="J66" s="35">
        <f t="shared" si="12"/>
        <v>393530</v>
      </c>
      <c r="K66" s="35">
        <f t="shared" si="12"/>
        <v>13971474</v>
      </c>
    </row>
    <row r="67" spans="1:11" x14ac:dyDescent="0.25">
      <c r="A67" s="85" t="s">
        <v>856</v>
      </c>
      <c r="B67" s="184"/>
      <c r="C67" s="8">
        <v>4391</v>
      </c>
      <c r="D67" s="8"/>
      <c r="E67" s="8"/>
      <c r="F67" s="8"/>
      <c r="G67" s="8"/>
      <c r="H67" s="81"/>
      <c r="I67" s="8"/>
      <c r="J67" s="8">
        <f t="shared" ref="J67:J77" si="13">SUM(C67:I67)</f>
        <v>4391</v>
      </c>
      <c r="K67" s="9">
        <f t="shared" ref="K67:K77" si="14">+K66+J67</f>
        <v>13975865</v>
      </c>
    </row>
    <row r="68" spans="1:11" x14ac:dyDescent="0.25">
      <c r="A68" s="85" t="s">
        <v>863</v>
      </c>
      <c r="B68" s="278"/>
      <c r="C68" s="303">
        <v>17293</v>
      </c>
      <c r="D68" s="176"/>
      <c r="E68" s="176"/>
      <c r="F68" s="176"/>
      <c r="G68" s="176"/>
      <c r="H68" s="176"/>
      <c r="I68" s="176"/>
      <c r="J68" s="8">
        <f t="shared" si="13"/>
        <v>17293</v>
      </c>
      <c r="K68" s="9">
        <f t="shared" si="14"/>
        <v>13993158</v>
      </c>
    </row>
    <row r="69" spans="1:11" x14ac:dyDescent="0.25">
      <c r="A69" s="61" t="s">
        <v>870</v>
      </c>
      <c r="B69" s="278"/>
      <c r="C69" s="8"/>
      <c r="D69" s="8">
        <v>37411</v>
      </c>
      <c r="E69" s="8"/>
      <c r="F69" s="8"/>
      <c r="G69" s="8"/>
      <c r="H69" s="8"/>
      <c r="I69" s="8"/>
      <c r="J69" s="203">
        <f t="shared" si="13"/>
        <v>37411</v>
      </c>
      <c r="K69" s="9">
        <f t="shared" si="14"/>
        <v>14030569</v>
      </c>
    </row>
    <row r="70" spans="1:11" x14ac:dyDescent="0.25">
      <c r="A70" s="145" t="s">
        <v>877</v>
      </c>
      <c r="B70" s="243"/>
      <c r="C70" s="81">
        <v>120000</v>
      </c>
      <c r="D70" s="81"/>
      <c r="E70" s="81"/>
      <c r="F70" s="81"/>
      <c r="G70" s="81"/>
      <c r="H70" s="81"/>
      <c r="I70" s="81"/>
      <c r="J70" s="203">
        <f t="shared" si="13"/>
        <v>120000</v>
      </c>
      <c r="K70" s="9">
        <f t="shared" si="14"/>
        <v>14150569</v>
      </c>
    </row>
    <row r="71" spans="1:11" x14ac:dyDescent="0.25">
      <c r="A71" s="62" t="s">
        <v>882</v>
      </c>
      <c r="B71" s="178"/>
      <c r="C71" s="8"/>
      <c r="D71" s="8"/>
      <c r="E71" s="8"/>
      <c r="F71" s="8">
        <v>750000</v>
      </c>
      <c r="G71" s="8"/>
      <c r="H71" s="8"/>
      <c r="I71" s="8"/>
      <c r="J71" s="203">
        <f t="shared" si="13"/>
        <v>750000</v>
      </c>
      <c r="K71" s="9">
        <f t="shared" si="14"/>
        <v>14900569</v>
      </c>
    </row>
    <row r="72" spans="1:11" x14ac:dyDescent="0.25">
      <c r="A72" s="62" t="s">
        <v>883</v>
      </c>
      <c r="B72" s="178"/>
      <c r="C72" s="8"/>
      <c r="D72" s="8"/>
      <c r="E72" s="8"/>
      <c r="F72" s="8">
        <v>750000</v>
      </c>
      <c r="G72" s="8"/>
      <c r="H72" s="8"/>
      <c r="I72" s="8"/>
      <c r="J72" s="203">
        <f t="shared" si="13"/>
        <v>750000</v>
      </c>
      <c r="K72" s="9">
        <f t="shared" si="14"/>
        <v>15650569</v>
      </c>
    </row>
    <row r="73" spans="1:11" x14ac:dyDescent="0.25">
      <c r="A73" s="62" t="s">
        <v>890</v>
      </c>
      <c r="B73" s="178"/>
      <c r="C73" s="8"/>
      <c r="D73" s="8"/>
      <c r="E73" s="8"/>
      <c r="F73" s="8">
        <v>600000</v>
      </c>
      <c r="G73" s="8"/>
      <c r="H73" s="8"/>
      <c r="I73" s="8"/>
      <c r="J73" s="203">
        <f t="shared" si="13"/>
        <v>600000</v>
      </c>
      <c r="K73" s="9">
        <f t="shared" si="14"/>
        <v>16250569</v>
      </c>
    </row>
    <row r="74" spans="1:11" x14ac:dyDescent="0.25">
      <c r="A74" s="145"/>
      <c r="B74" s="243"/>
      <c r="C74" s="81"/>
      <c r="D74" s="81"/>
      <c r="E74" s="80"/>
      <c r="F74" s="80"/>
      <c r="G74" s="80"/>
      <c r="H74" s="80"/>
      <c r="I74" s="80"/>
      <c r="J74" s="203">
        <f t="shared" si="13"/>
        <v>0</v>
      </c>
      <c r="K74" s="9">
        <f t="shared" si="14"/>
        <v>16250569</v>
      </c>
    </row>
    <row r="75" spans="1:11" x14ac:dyDescent="0.25">
      <c r="A75" s="62"/>
      <c r="B75" s="278"/>
      <c r="C75" s="217"/>
      <c r="D75" s="185"/>
      <c r="E75" s="185"/>
      <c r="F75" s="176"/>
      <c r="G75" s="176"/>
      <c r="H75" s="8"/>
      <c r="I75" s="16"/>
      <c r="J75" s="203">
        <f t="shared" si="13"/>
        <v>0</v>
      </c>
      <c r="K75" s="9">
        <f t="shared" si="14"/>
        <v>16250569</v>
      </c>
    </row>
    <row r="76" spans="1:11" x14ac:dyDescent="0.25">
      <c r="A76" s="62"/>
      <c r="B76" s="278"/>
      <c r="C76" s="217"/>
      <c r="D76" s="16"/>
      <c r="E76" s="185"/>
      <c r="F76" s="176"/>
      <c r="G76" s="176"/>
      <c r="H76" s="8"/>
      <c r="I76" s="16"/>
      <c r="J76" s="203">
        <f t="shared" si="13"/>
        <v>0</v>
      </c>
      <c r="K76" s="9">
        <f t="shared" si="14"/>
        <v>16250569</v>
      </c>
    </row>
    <row r="77" spans="1:11" ht="15.75" thickBot="1" x14ac:dyDescent="0.3">
      <c r="A77" s="138"/>
      <c r="B77" s="182"/>
      <c r="C77" s="10"/>
      <c r="D77" s="10"/>
      <c r="E77" s="10"/>
      <c r="F77" s="10"/>
      <c r="G77" s="10"/>
      <c r="H77" s="10"/>
      <c r="I77" s="10"/>
      <c r="J77" s="214">
        <f t="shared" si="13"/>
        <v>0</v>
      </c>
      <c r="K77" s="11">
        <f t="shared" si="14"/>
        <v>16250569</v>
      </c>
    </row>
    <row r="78" spans="1:11" x14ac:dyDescent="0.25">
      <c r="A78" s="204" t="s">
        <v>74</v>
      </c>
      <c r="B78" s="296"/>
      <c r="C78" s="124">
        <f t="shared" ref="C78:J78" si="15">SUM(C66:C77)</f>
        <v>4691365</v>
      </c>
      <c r="D78" s="124">
        <f t="shared" si="15"/>
        <v>409204</v>
      </c>
      <c r="E78" s="124">
        <f t="shared" si="15"/>
        <v>0</v>
      </c>
      <c r="F78" s="124">
        <f t="shared" si="15"/>
        <v>5500000</v>
      </c>
      <c r="G78" s="124">
        <f t="shared" si="15"/>
        <v>1650000</v>
      </c>
      <c r="H78" s="124">
        <f t="shared" si="15"/>
        <v>4000000</v>
      </c>
      <c r="I78" s="124">
        <f t="shared" si="15"/>
        <v>0</v>
      </c>
      <c r="J78" s="124">
        <f t="shared" si="15"/>
        <v>2672625</v>
      </c>
      <c r="K78" s="82">
        <f>SUM(K77)</f>
        <v>16250569</v>
      </c>
    </row>
    <row r="79" spans="1:11" x14ac:dyDescent="0.25">
      <c r="A79" s="62"/>
      <c r="B79" s="178"/>
      <c r="C79" s="8"/>
      <c r="D79" s="8"/>
      <c r="E79" s="8"/>
      <c r="F79" s="8"/>
      <c r="G79" s="8"/>
      <c r="H79" s="8"/>
      <c r="I79" s="8"/>
      <c r="J79" s="60">
        <f t="shared" ref="J79:J84" si="16">SUM(C79:I79)</f>
        <v>0</v>
      </c>
      <c r="K79" s="9"/>
    </row>
    <row r="80" spans="1:11" x14ac:dyDescent="0.25">
      <c r="A80" s="62"/>
      <c r="B80" s="178"/>
      <c r="C80" s="8"/>
      <c r="D80" s="16"/>
      <c r="E80" s="16"/>
      <c r="F80" s="8"/>
      <c r="G80" s="8"/>
      <c r="H80" s="8"/>
      <c r="I80" s="16"/>
      <c r="J80" s="60">
        <f t="shared" si="16"/>
        <v>0</v>
      </c>
      <c r="K80" s="9"/>
    </row>
    <row r="81" spans="1:11" x14ac:dyDescent="0.25">
      <c r="A81" s="62"/>
      <c r="B81" s="180"/>
      <c r="C81" s="8"/>
      <c r="D81" s="8"/>
      <c r="E81" s="8"/>
      <c r="F81" s="8"/>
      <c r="G81" s="8"/>
      <c r="H81" s="8"/>
      <c r="I81" s="16"/>
      <c r="J81" s="60">
        <f t="shared" si="16"/>
        <v>0</v>
      </c>
      <c r="K81" s="9"/>
    </row>
    <row r="82" spans="1:11" x14ac:dyDescent="0.25">
      <c r="A82" s="61"/>
      <c r="B82" s="180"/>
      <c r="C82" s="8"/>
      <c r="D82" s="8"/>
      <c r="E82" s="8"/>
      <c r="F82" s="8"/>
      <c r="G82" s="8"/>
      <c r="H82" s="8"/>
      <c r="I82" s="8"/>
      <c r="J82" s="60">
        <f t="shared" si="16"/>
        <v>0</v>
      </c>
      <c r="K82" s="9"/>
    </row>
    <row r="83" spans="1:11" x14ac:dyDescent="0.25">
      <c r="A83" s="61"/>
      <c r="B83" s="178"/>
      <c r="C83" s="8"/>
      <c r="D83" s="8"/>
      <c r="E83" s="16"/>
      <c r="F83" s="8"/>
      <c r="G83" s="8"/>
      <c r="H83" s="8"/>
      <c r="I83" s="8"/>
      <c r="J83" s="60">
        <f t="shared" si="16"/>
        <v>0</v>
      </c>
      <c r="K83" s="9"/>
    </row>
    <row r="84" spans="1:11" ht="15.75" thickBot="1" x14ac:dyDescent="0.3">
      <c r="A84" s="73"/>
      <c r="B84" s="251"/>
      <c r="C84" s="10"/>
      <c r="D84" s="3"/>
      <c r="E84" s="10"/>
      <c r="F84" s="10"/>
      <c r="G84" s="10"/>
      <c r="H84" s="10"/>
      <c r="I84" s="3"/>
      <c r="J84" s="186">
        <f t="shared" si="16"/>
        <v>0</v>
      </c>
      <c r="K84" s="11"/>
    </row>
    <row r="85" spans="1:11" ht="15.75" thickBot="1" x14ac:dyDescent="0.3">
      <c r="A85" s="36"/>
      <c r="B85" s="277"/>
      <c r="C85" s="15"/>
      <c r="D85" s="15"/>
      <c r="E85" s="15"/>
      <c r="F85" s="15"/>
      <c r="G85" s="15"/>
      <c r="H85" s="15"/>
      <c r="I85" s="15">
        <f t="shared" ref="I85" si="17">SUM(I78:I84)</f>
        <v>0</v>
      </c>
      <c r="J85" s="15"/>
      <c r="K85" s="15">
        <f>+K84</f>
        <v>0</v>
      </c>
    </row>
    <row r="86" spans="1:11" ht="15.75" thickBot="1" x14ac:dyDescent="0.3">
      <c r="A86" t="s">
        <v>5</v>
      </c>
    </row>
    <row r="87" spans="1:11" ht="15.75" thickBot="1" x14ac:dyDescent="0.3">
      <c r="A87" s="325"/>
      <c r="B87" s="325"/>
      <c r="C87" s="326">
        <f t="shared" ref="C87:I87" si="18">C11-C78</f>
        <v>36635</v>
      </c>
      <c r="D87" s="326">
        <f t="shared" si="18"/>
        <v>43796</v>
      </c>
      <c r="E87" s="326">
        <f t="shared" si="18"/>
        <v>200000</v>
      </c>
      <c r="F87" s="326">
        <f t="shared" si="18"/>
        <v>0</v>
      </c>
      <c r="G87" s="326">
        <f t="shared" si="18"/>
        <v>0</v>
      </c>
      <c r="H87" s="326">
        <f t="shared" si="18"/>
        <v>0</v>
      </c>
      <c r="I87" s="326">
        <f t="shared" si="18"/>
        <v>0</v>
      </c>
      <c r="J87" s="326"/>
      <c r="K87" s="326"/>
    </row>
    <row r="92" spans="1:11" x14ac:dyDescent="0.25">
      <c r="A92" t="s">
        <v>9</v>
      </c>
      <c r="E92" t="s">
        <v>50</v>
      </c>
      <c r="I92" t="s">
        <v>45</v>
      </c>
    </row>
    <row r="93" spans="1:11" x14ac:dyDescent="0.25">
      <c r="A93" t="s">
        <v>44</v>
      </c>
    </row>
    <row r="94" spans="1:11" x14ac:dyDescent="0.25">
      <c r="E94" t="s">
        <v>13</v>
      </c>
      <c r="F94" s="13">
        <v>60012</v>
      </c>
      <c r="I94" t="s">
        <v>75</v>
      </c>
    </row>
    <row r="95" spans="1:11" ht="15.75" thickBot="1" x14ac:dyDescent="0.3">
      <c r="E95" t="s">
        <v>6</v>
      </c>
      <c r="F95" s="13" t="s">
        <v>23</v>
      </c>
    </row>
    <row r="96" spans="1:11" ht="30.75" thickBot="1" x14ac:dyDescent="0.3">
      <c r="A96" s="75" t="s">
        <v>42</v>
      </c>
      <c r="B96" s="45"/>
      <c r="C96" s="45">
        <v>1</v>
      </c>
      <c r="D96" s="45">
        <v>2</v>
      </c>
      <c r="E96" s="45">
        <v>3</v>
      </c>
      <c r="F96" s="45">
        <v>4</v>
      </c>
      <c r="G96" s="45">
        <v>5</v>
      </c>
      <c r="H96" s="45">
        <v>7</v>
      </c>
      <c r="I96" s="45"/>
      <c r="J96" s="51" t="s">
        <v>16</v>
      </c>
      <c r="K96" s="40" t="s">
        <v>17</v>
      </c>
    </row>
    <row r="97" spans="1:11" x14ac:dyDescent="0.25">
      <c r="A97" s="76" t="s">
        <v>43</v>
      </c>
      <c r="B97" s="276"/>
      <c r="C97" s="35">
        <f t="shared" ref="C97:K97" si="19">C85</f>
        <v>0</v>
      </c>
      <c r="D97" s="35">
        <f t="shared" si="19"/>
        <v>0</v>
      </c>
      <c r="E97" s="35">
        <f t="shared" si="19"/>
        <v>0</v>
      </c>
      <c r="F97" s="35">
        <f t="shared" si="19"/>
        <v>0</v>
      </c>
      <c r="G97" s="35">
        <f t="shared" si="19"/>
        <v>0</v>
      </c>
      <c r="H97" s="35">
        <f t="shared" si="19"/>
        <v>0</v>
      </c>
      <c r="I97" s="35">
        <f t="shared" si="19"/>
        <v>0</v>
      </c>
      <c r="J97" s="35">
        <f t="shared" si="19"/>
        <v>0</v>
      </c>
      <c r="K97" s="35">
        <f t="shared" si="19"/>
        <v>0</v>
      </c>
    </row>
    <row r="98" spans="1:11" x14ac:dyDescent="0.25">
      <c r="A98" s="85"/>
      <c r="B98" s="278"/>
      <c r="C98" s="217"/>
      <c r="D98" s="217"/>
      <c r="E98" s="217"/>
      <c r="F98" s="217"/>
      <c r="G98" s="217"/>
      <c r="H98" s="216"/>
      <c r="I98" s="217"/>
      <c r="J98" s="217">
        <f>SUM(C98:I98)</f>
        <v>0</v>
      </c>
      <c r="K98" s="9">
        <f>K97+J98</f>
        <v>0</v>
      </c>
    </row>
    <row r="99" spans="1:11" x14ac:dyDescent="0.25">
      <c r="A99" s="85"/>
      <c r="B99" s="278"/>
      <c r="C99" s="303"/>
      <c r="D99" s="217"/>
      <c r="E99" s="217"/>
      <c r="F99" s="217"/>
      <c r="G99" s="217"/>
      <c r="H99" s="217"/>
      <c r="I99" s="217"/>
      <c r="J99" s="217">
        <f>SUM(C99:I99)</f>
        <v>0</v>
      </c>
      <c r="K99" s="9">
        <f>K98+J99</f>
        <v>0</v>
      </c>
    </row>
    <row r="100" spans="1:11" x14ac:dyDescent="0.25">
      <c r="A100" s="62"/>
      <c r="B100" s="278"/>
      <c r="C100" s="217"/>
      <c r="D100" s="217"/>
      <c r="E100" s="217"/>
      <c r="F100" s="217"/>
      <c r="G100" s="217"/>
      <c r="H100" s="217"/>
      <c r="I100" s="217"/>
      <c r="J100" s="217">
        <f>SUM(C100:I100)</f>
        <v>0</v>
      </c>
      <c r="K100" s="9">
        <f>K99+J100</f>
        <v>0</v>
      </c>
    </row>
    <row r="101" spans="1:11" x14ac:dyDescent="0.25">
      <c r="A101" s="145"/>
      <c r="B101" s="243"/>
      <c r="C101" s="81"/>
      <c r="D101" s="81"/>
      <c r="E101" s="81"/>
      <c r="F101" s="81"/>
      <c r="G101" s="81"/>
      <c r="H101" s="81"/>
      <c r="I101" s="81"/>
      <c r="J101" s="217">
        <f>SUM(C101:I101)</f>
        <v>0</v>
      </c>
      <c r="K101" s="9">
        <f>K100+J101</f>
        <v>0</v>
      </c>
    </row>
    <row r="102" spans="1:11" ht="15.75" thickBot="1" x14ac:dyDescent="0.3">
      <c r="A102" s="73"/>
      <c r="B102" s="300"/>
      <c r="C102" s="215"/>
      <c r="D102" s="215"/>
      <c r="E102" s="215"/>
      <c r="F102" s="215"/>
      <c r="G102" s="215"/>
      <c r="H102" s="215"/>
      <c r="I102" s="215"/>
      <c r="J102" s="215">
        <f>SUM(C102:I102)</f>
        <v>0</v>
      </c>
      <c r="K102" s="11">
        <f>K101+J102</f>
        <v>0</v>
      </c>
    </row>
    <row r="103" spans="1:11" x14ac:dyDescent="0.25">
      <c r="A103" s="79" t="s">
        <v>66</v>
      </c>
      <c r="B103" s="181"/>
      <c r="C103" s="80">
        <f>SUM(C97:C102)</f>
        <v>0</v>
      </c>
      <c r="D103" s="80">
        <f t="shared" ref="D103:I103" si="20">SUM(D97:D102)</f>
        <v>0</v>
      </c>
      <c r="E103" s="80">
        <f t="shared" si="20"/>
        <v>0</v>
      </c>
      <c r="F103" s="80">
        <f t="shared" si="20"/>
        <v>0</v>
      </c>
      <c r="G103" s="80">
        <f t="shared" si="20"/>
        <v>0</v>
      </c>
      <c r="H103" s="80">
        <f t="shared" si="20"/>
        <v>0</v>
      </c>
      <c r="I103" s="80">
        <f t="shared" si="20"/>
        <v>0</v>
      </c>
      <c r="J103" s="80">
        <f>SUM(J98:J102)</f>
        <v>0</v>
      </c>
      <c r="K103" s="82">
        <f>SUM(K102)</f>
        <v>0</v>
      </c>
    </row>
    <row r="104" spans="1:11" x14ac:dyDescent="0.25">
      <c r="A104" s="62"/>
      <c r="B104" s="278"/>
      <c r="C104" s="217"/>
      <c r="D104" s="217"/>
      <c r="E104" s="217"/>
      <c r="F104" s="217"/>
      <c r="G104" s="217"/>
      <c r="H104" s="217"/>
      <c r="I104" s="217"/>
      <c r="J104" s="217">
        <f>SUM(C104:I104)</f>
        <v>0</v>
      </c>
      <c r="K104" s="9">
        <f>+K103+J104</f>
        <v>0</v>
      </c>
    </row>
    <row r="105" spans="1:11" x14ac:dyDescent="0.25">
      <c r="A105" s="145"/>
      <c r="B105" s="304"/>
      <c r="C105" s="216"/>
      <c r="D105" s="216"/>
      <c r="E105" s="80"/>
      <c r="F105" s="80"/>
      <c r="G105" s="80"/>
      <c r="H105" s="80"/>
      <c r="I105" s="80"/>
      <c r="J105" s="217">
        <f>SUM(C105:I105)</f>
        <v>0</v>
      </c>
      <c r="K105" s="9">
        <f>+K104+J105</f>
        <v>0</v>
      </c>
    </row>
    <row r="106" spans="1:11" x14ac:dyDescent="0.25">
      <c r="A106" s="62"/>
      <c r="B106" s="278"/>
      <c r="C106" s="217"/>
      <c r="D106" s="16"/>
      <c r="E106" s="16"/>
      <c r="F106" s="217"/>
      <c r="G106" s="217"/>
      <c r="H106" s="217"/>
      <c r="I106" s="16"/>
      <c r="J106" s="217">
        <f>SUM(C106:I106)</f>
        <v>0</v>
      </c>
      <c r="K106" s="9">
        <f>+K105+J106</f>
        <v>0</v>
      </c>
    </row>
    <row r="107" spans="1:11" x14ac:dyDescent="0.25">
      <c r="A107" s="62"/>
      <c r="B107" s="278"/>
      <c r="C107" s="217"/>
      <c r="D107" s="16"/>
      <c r="E107" s="16"/>
      <c r="F107" s="217"/>
      <c r="G107" s="217"/>
      <c r="H107" s="217"/>
      <c r="I107" s="16"/>
      <c r="J107" s="217">
        <f>SUM(C107:I107)</f>
        <v>0</v>
      </c>
      <c r="K107" s="9">
        <f>+K106+J107</f>
        <v>0</v>
      </c>
    </row>
    <row r="108" spans="1:11" ht="15.75" thickBot="1" x14ac:dyDescent="0.3">
      <c r="A108" s="69"/>
      <c r="B108" s="316"/>
      <c r="C108" s="282"/>
      <c r="D108" s="282"/>
      <c r="E108" s="282"/>
      <c r="F108" s="282"/>
      <c r="G108" s="282"/>
      <c r="H108" s="282"/>
      <c r="I108" s="282"/>
      <c r="J108" s="282">
        <f>SUM(C108:I108)</f>
        <v>0</v>
      </c>
      <c r="K108" s="9">
        <f>+K107+J108</f>
        <v>0</v>
      </c>
    </row>
    <row r="109" spans="1:11" ht="15.75" thickBot="1" x14ac:dyDescent="0.3">
      <c r="A109" s="350" t="s">
        <v>69</v>
      </c>
      <c r="B109" s="351"/>
      <c r="C109" s="333">
        <f>SUM(C103:C108)</f>
        <v>0</v>
      </c>
      <c r="D109" s="83">
        <f t="shared" ref="D109:I109" si="21">SUM(D103:D108)</f>
        <v>0</v>
      </c>
      <c r="E109" s="83">
        <f t="shared" si="21"/>
        <v>0</v>
      </c>
      <c r="F109" s="83">
        <f t="shared" si="21"/>
        <v>0</v>
      </c>
      <c r="G109" s="83">
        <f t="shared" si="21"/>
        <v>0</v>
      </c>
      <c r="H109" s="83">
        <f t="shared" si="21"/>
        <v>0</v>
      </c>
      <c r="I109" s="83">
        <f t="shared" si="21"/>
        <v>0</v>
      </c>
      <c r="J109" s="83">
        <f>SUM(J104:J108)</f>
        <v>0</v>
      </c>
      <c r="K109" s="149">
        <f>SUM(K108)</f>
        <v>0</v>
      </c>
    </row>
    <row r="110" spans="1:11" ht="15.75" thickBot="1" x14ac:dyDescent="0.3">
      <c r="A110" s="145"/>
      <c r="B110" s="304"/>
      <c r="C110" s="216"/>
      <c r="D110" s="216"/>
      <c r="E110" s="216"/>
      <c r="F110" s="216"/>
      <c r="G110" s="216"/>
      <c r="H110" s="216"/>
      <c r="I110" s="216"/>
      <c r="J110" s="377">
        <f>SUM(C110:I110)</f>
        <v>0</v>
      </c>
      <c r="K110" s="100">
        <f>+K109+J110</f>
        <v>0</v>
      </c>
    </row>
    <row r="111" spans="1:11" ht="15.75" thickBot="1" x14ac:dyDescent="0.3">
      <c r="A111" s="319" t="s">
        <v>70</v>
      </c>
      <c r="B111" s="339"/>
      <c r="C111" s="83">
        <f t="shared" ref="C111:I111" si="22">SUM(C109:C110)</f>
        <v>0</v>
      </c>
      <c r="D111" s="83">
        <f t="shared" si="22"/>
        <v>0</v>
      </c>
      <c r="E111" s="83">
        <f t="shared" si="22"/>
        <v>0</v>
      </c>
      <c r="F111" s="83">
        <f t="shared" si="22"/>
        <v>0</v>
      </c>
      <c r="G111" s="83">
        <f t="shared" si="22"/>
        <v>0</v>
      </c>
      <c r="H111" s="83">
        <f t="shared" si="22"/>
        <v>0</v>
      </c>
      <c r="I111" s="83">
        <f t="shared" si="22"/>
        <v>0</v>
      </c>
      <c r="J111" s="381">
        <f>SUM(J110)</f>
        <v>0</v>
      </c>
      <c r="K111" s="115">
        <f>SUM(K110)</f>
        <v>0</v>
      </c>
    </row>
    <row r="112" spans="1:11" x14ac:dyDescent="0.25">
      <c r="A112" s="226"/>
      <c r="B112" s="345"/>
      <c r="C112" s="78"/>
      <c r="D112" s="78"/>
      <c r="E112" s="78"/>
      <c r="F112" s="78"/>
      <c r="G112" s="78"/>
      <c r="H112" s="78"/>
      <c r="I112" s="78"/>
      <c r="J112" s="368">
        <f t="shared" ref="J112:J119" si="23">SUM(C112:I112)</f>
        <v>0</v>
      </c>
      <c r="K112" s="127">
        <f t="shared" ref="K112:K119" si="24">+K111+J112</f>
        <v>0</v>
      </c>
    </row>
    <row r="113" spans="1:11" x14ac:dyDescent="0.25">
      <c r="A113" s="226"/>
      <c r="B113" s="345"/>
      <c r="C113" s="78"/>
      <c r="D113" s="78"/>
      <c r="E113" s="78"/>
      <c r="F113" s="78"/>
      <c r="G113" s="78"/>
      <c r="H113" s="78"/>
      <c r="I113" s="78"/>
      <c r="J113" s="368">
        <f t="shared" si="23"/>
        <v>0</v>
      </c>
      <c r="K113" s="127">
        <f t="shared" si="24"/>
        <v>0</v>
      </c>
    </row>
    <row r="114" spans="1:11" x14ac:dyDescent="0.25">
      <c r="A114" s="226"/>
      <c r="B114" s="345"/>
      <c r="C114" s="78"/>
      <c r="D114" s="78"/>
      <c r="E114" s="124"/>
      <c r="F114" s="124"/>
      <c r="G114" s="124"/>
      <c r="H114" s="124"/>
      <c r="I114" s="124"/>
      <c r="J114" s="368">
        <f t="shared" si="23"/>
        <v>0</v>
      </c>
      <c r="K114" s="127">
        <f t="shared" si="24"/>
        <v>0</v>
      </c>
    </row>
    <row r="115" spans="1:11" x14ac:dyDescent="0.25">
      <c r="A115" s="226"/>
      <c r="B115" s="345"/>
      <c r="C115" s="78"/>
      <c r="D115" s="124"/>
      <c r="E115" s="124"/>
      <c r="F115" s="124"/>
      <c r="G115" s="124"/>
      <c r="H115" s="124"/>
      <c r="I115" s="124"/>
      <c r="J115" s="368">
        <f t="shared" si="23"/>
        <v>0</v>
      </c>
      <c r="K115" s="127">
        <f t="shared" si="24"/>
        <v>0</v>
      </c>
    </row>
    <row r="116" spans="1:11" x14ac:dyDescent="0.25">
      <c r="A116" s="226"/>
      <c r="B116" s="296"/>
      <c r="C116" s="124"/>
      <c r="D116" s="78"/>
      <c r="E116" s="124"/>
      <c r="F116" s="124"/>
      <c r="G116" s="124"/>
      <c r="H116" s="124"/>
      <c r="I116" s="124"/>
      <c r="J116" s="368">
        <f t="shared" si="23"/>
        <v>0</v>
      </c>
      <c r="K116" s="127">
        <f t="shared" si="24"/>
        <v>0</v>
      </c>
    </row>
    <row r="117" spans="1:11" x14ac:dyDescent="0.25">
      <c r="A117" s="226"/>
      <c r="B117" s="345"/>
      <c r="C117" s="78"/>
      <c r="D117" s="124"/>
      <c r="E117" s="124"/>
      <c r="F117" s="124"/>
      <c r="G117" s="124"/>
      <c r="H117" s="124"/>
      <c r="I117" s="124"/>
      <c r="J117" s="368">
        <f t="shared" si="23"/>
        <v>0</v>
      </c>
      <c r="K117" s="127">
        <f t="shared" si="24"/>
        <v>0</v>
      </c>
    </row>
    <row r="118" spans="1:11" x14ac:dyDescent="0.25">
      <c r="A118" s="226"/>
      <c r="B118" s="372"/>
      <c r="C118" s="286"/>
      <c r="D118" s="286"/>
      <c r="E118" s="124"/>
      <c r="F118" s="286"/>
      <c r="G118" s="286"/>
      <c r="H118" s="286"/>
      <c r="I118" s="124"/>
      <c r="J118" s="368">
        <f t="shared" si="23"/>
        <v>0</v>
      </c>
      <c r="K118" s="127">
        <f t="shared" si="24"/>
        <v>0</v>
      </c>
    </row>
    <row r="119" spans="1:11" x14ac:dyDescent="0.25">
      <c r="A119" s="200"/>
      <c r="B119" s="278"/>
      <c r="C119" s="217"/>
      <c r="D119" s="217"/>
      <c r="E119" s="16"/>
      <c r="F119" s="217"/>
      <c r="G119" s="217"/>
      <c r="H119" s="217"/>
      <c r="I119" s="16"/>
      <c r="J119" s="380">
        <f t="shared" si="23"/>
        <v>0</v>
      </c>
      <c r="K119" s="127">
        <f t="shared" si="24"/>
        <v>0</v>
      </c>
    </row>
    <row r="120" spans="1:11" ht="15.75" thickBot="1" x14ac:dyDescent="0.3">
      <c r="A120" s="36"/>
      <c r="B120" s="277"/>
      <c r="C120" s="15">
        <f t="shared" ref="C120:H120" si="25">SUM(C111:C119)</f>
        <v>0</v>
      </c>
      <c r="D120" s="15">
        <f t="shared" si="25"/>
        <v>0</v>
      </c>
      <c r="E120" s="15">
        <f t="shared" si="25"/>
        <v>0</v>
      </c>
      <c r="F120" s="15">
        <f t="shared" si="25"/>
        <v>0</v>
      </c>
      <c r="G120" s="15">
        <f t="shared" si="25"/>
        <v>0</v>
      </c>
      <c r="H120" s="15">
        <f t="shared" si="25"/>
        <v>0</v>
      </c>
      <c r="I120" s="15">
        <f>SUM(I111:I118)</f>
        <v>0</v>
      </c>
      <c r="J120" s="15">
        <f>SUM(J112:J119)</f>
        <v>0</v>
      </c>
      <c r="K120" s="14">
        <f>K119</f>
        <v>0</v>
      </c>
    </row>
    <row r="121" spans="1:11" ht="15.75" thickBot="1" x14ac:dyDescent="0.3">
      <c r="A121" t="s">
        <v>5</v>
      </c>
    </row>
    <row r="122" spans="1:11" ht="15.75" thickBot="1" x14ac:dyDescent="0.3">
      <c r="A122" s="325"/>
      <c r="B122" s="325"/>
      <c r="C122" s="326">
        <f t="shared" ref="C122:I122" si="26">C11-C120</f>
        <v>4728000</v>
      </c>
      <c r="D122" s="326">
        <f t="shared" si="26"/>
        <v>453000</v>
      </c>
      <c r="E122" s="326">
        <f t="shared" si="26"/>
        <v>200000</v>
      </c>
      <c r="F122" s="326">
        <f t="shared" si="26"/>
        <v>5500000</v>
      </c>
      <c r="G122" s="326">
        <f t="shared" si="26"/>
        <v>1650000</v>
      </c>
      <c r="H122" s="326">
        <f t="shared" si="26"/>
        <v>4000000</v>
      </c>
      <c r="I122" s="326">
        <f t="shared" si="26"/>
        <v>0</v>
      </c>
      <c r="J122" s="325"/>
      <c r="K122" s="326">
        <f>SUM(C122:J122)</f>
        <v>16531000</v>
      </c>
    </row>
    <row r="123" spans="1:11" x14ac:dyDescent="0.25">
      <c r="A123" t="s">
        <v>9</v>
      </c>
      <c r="E123" t="s">
        <v>50</v>
      </c>
      <c r="I123" t="s">
        <v>45</v>
      </c>
    </row>
    <row r="124" spans="1:11" x14ac:dyDescent="0.25">
      <c r="A124" t="s">
        <v>44</v>
      </c>
    </row>
    <row r="125" spans="1:11" x14ac:dyDescent="0.25">
      <c r="E125" t="s">
        <v>13</v>
      </c>
      <c r="F125" s="13">
        <v>60012</v>
      </c>
      <c r="I125" t="s">
        <v>75</v>
      </c>
    </row>
    <row r="126" spans="1:11" ht="15.75" thickBot="1" x14ac:dyDescent="0.3">
      <c r="E126" t="s">
        <v>6</v>
      </c>
      <c r="F126" s="13" t="s">
        <v>23</v>
      </c>
    </row>
    <row r="127" spans="1:11" ht="30.75" thickBot="1" x14ac:dyDescent="0.3">
      <c r="A127" s="75" t="s">
        <v>42</v>
      </c>
      <c r="B127" s="45"/>
      <c r="C127" s="45">
        <v>1</v>
      </c>
      <c r="D127" s="45">
        <v>2</v>
      </c>
      <c r="E127" s="45">
        <v>3</v>
      </c>
      <c r="F127" s="45">
        <v>4</v>
      </c>
      <c r="G127" s="45">
        <v>5</v>
      </c>
      <c r="H127" s="45">
        <v>7</v>
      </c>
      <c r="I127" s="45"/>
      <c r="J127" s="51" t="s">
        <v>16</v>
      </c>
      <c r="K127" s="40" t="s">
        <v>17</v>
      </c>
    </row>
    <row r="128" spans="1:11" x14ac:dyDescent="0.25">
      <c r="A128" s="76" t="s">
        <v>43</v>
      </c>
      <c r="B128" s="276"/>
      <c r="C128" s="35">
        <f>C120</f>
        <v>0</v>
      </c>
      <c r="D128" s="35">
        <f t="shared" ref="D128:K128" si="27">D120</f>
        <v>0</v>
      </c>
      <c r="E128" s="35">
        <f t="shared" si="27"/>
        <v>0</v>
      </c>
      <c r="F128" s="35">
        <f t="shared" si="27"/>
        <v>0</v>
      </c>
      <c r="G128" s="35">
        <f t="shared" si="27"/>
        <v>0</v>
      </c>
      <c r="H128" s="35">
        <f t="shared" si="27"/>
        <v>0</v>
      </c>
      <c r="I128" s="35">
        <f t="shared" si="27"/>
        <v>0</v>
      </c>
      <c r="J128" s="35">
        <f t="shared" si="27"/>
        <v>0</v>
      </c>
      <c r="K128" s="35">
        <f t="shared" si="27"/>
        <v>0</v>
      </c>
    </row>
    <row r="129" spans="1:11" x14ac:dyDescent="0.25">
      <c r="A129" s="85"/>
      <c r="B129" s="278"/>
      <c r="C129" s="217"/>
      <c r="D129" s="217"/>
      <c r="E129" s="217"/>
      <c r="F129" s="217"/>
      <c r="G129" s="217"/>
      <c r="H129" s="216"/>
      <c r="I129" s="217"/>
      <c r="J129" s="217">
        <f t="shared" ref="J129:J140" si="28">SUM(C129:I129)</f>
        <v>0</v>
      </c>
      <c r="K129" s="9">
        <f>+K128+J129</f>
        <v>0</v>
      </c>
    </row>
    <row r="130" spans="1:11" x14ac:dyDescent="0.25">
      <c r="A130" s="85"/>
      <c r="B130" s="278"/>
      <c r="C130" s="303"/>
      <c r="D130" s="217"/>
      <c r="E130" s="217"/>
      <c r="F130" s="217"/>
      <c r="G130" s="217"/>
      <c r="H130" s="217"/>
      <c r="I130" s="217"/>
      <c r="J130" s="217">
        <f t="shared" si="28"/>
        <v>0</v>
      </c>
      <c r="K130" s="9">
        <f t="shared" ref="K130:K136" si="29">+K129+J130</f>
        <v>0</v>
      </c>
    </row>
    <row r="131" spans="1:11" x14ac:dyDescent="0.25">
      <c r="A131" s="62"/>
      <c r="B131" s="278"/>
      <c r="C131" s="217"/>
      <c r="D131" s="217"/>
      <c r="E131" s="217"/>
      <c r="F131" s="217"/>
      <c r="G131" s="217"/>
      <c r="H131" s="217"/>
      <c r="I131" s="217"/>
      <c r="J131" s="217">
        <f t="shared" si="28"/>
        <v>0</v>
      </c>
      <c r="K131" s="9">
        <f t="shared" si="29"/>
        <v>0</v>
      </c>
    </row>
    <row r="132" spans="1:11" x14ac:dyDescent="0.25">
      <c r="A132" s="145"/>
      <c r="B132" s="243"/>
      <c r="C132" s="81"/>
      <c r="D132" s="81"/>
      <c r="E132" s="81"/>
      <c r="F132" s="81"/>
      <c r="G132" s="81"/>
      <c r="H132" s="81"/>
      <c r="I132" s="81"/>
      <c r="J132" s="217">
        <f t="shared" si="28"/>
        <v>0</v>
      </c>
      <c r="K132" s="9">
        <f t="shared" si="29"/>
        <v>0</v>
      </c>
    </row>
    <row r="133" spans="1:11" x14ac:dyDescent="0.25">
      <c r="A133" s="226"/>
      <c r="B133" s="345"/>
      <c r="C133" s="78"/>
      <c r="D133" s="78"/>
      <c r="E133" s="78"/>
      <c r="F133" s="78"/>
      <c r="G133" s="78"/>
      <c r="H133" s="78"/>
      <c r="I133" s="78"/>
      <c r="J133" s="282">
        <f t="shared" si="28"/>
        <v>0</v>
      </c>
      <c r="K133" s="9">
        <f t="shared" si="29"/>
        <v>0</v>
      </c>
    </row>
    <row r="134" spans="1:11" x14ac:dyDescent="0.25">
      <c r="A134" s="226"/>
      <c r="B134" s="345"/>
      <c r="C134" s="78"/>
      <c r="D134" s="78"/>
      <c r="E134" s="78"/>
      <c r="F134" s="78"/>
      <c r="G134" s="78"/>
      <c r="H134" s="78"/>
      <c r="I134" s="78"/>
      <c r="J134" s="282">
        <f t="shared" si="28"/>
        <v>0</v>
      </c>
      <c r="K134" s="9">
        <f t="shared" si="29"/>
        <v>0</v>
      </c>
    </row>
    <row r="135" spans="1:11" x14ac:dyDescent="0.25">
      <c r="A135" s="69"/>
      <c r="B135" s="316"/>
      <c r="C135" s="282"/>
      <c r="D135" s="282"/>
      <c r="E135" s="282"/>
      <c r="F135" s="282"/>
      <c r="G135" s="282"/>
      <c r="H135" s="282"/>
      <c r="I135" s="282"/>
      <c r="J135" s="282">
        <f t="shared" si="28"/>
        <v>0</v>
      </c>
      <c r="K135" s="9">
        <f t="shared" si="29"/>
        <v>0</v>
      </c>
    </row>
    <row r="136" spans="1:11" ht="15.75" thickBot="1" x14ac:dyDescent="0.3">
      <c r="A136" s="348"/>
      <c r="B136" s="316"/>
      <c r="C136" s="282"/>
      <c r="D136" s="282"/>
      <c r="E136" s="282"/>
      <c r="F136" s="282"/>
      <c r="G136" s="282"/>
      <c r="H136" s="282"/>
      <c r="I136" s="282"/>
      <c r="J136" s="282">
        <f t="shared" si="28"/>
        <v>0</v>
      </c>
      <c r="K136" s="9">
        <f t="shared" si="29"/>
        <v>0</v>
      </c>
    </row>
    <row r="137" spans="1:11" ht="15.75" thickBot="1" x14ac:dyDescent="0.3">
      <c r="A137" s="319" t="s">
        <v>74</v>
      </c>
      <c r="B137" s="339"/>
      <c r="C137" s="83">
        <f>SUM(C128:C136)</f>
        <v>0</v>
      </c>
      <c r="D137" s="83">
        <f t="shared" ref="D137:I137" si="30">SUM(D128:D136)</f>
        <v>0</v>
      </c>
      <c r="E137" s="83">
        <f t="shared" si="30"/>
        <v>0</v>
      </c>
      <c r="F137" s="83">
        <f t="shared" si="30"/>
        <v>0</v>
      </c>
      <c r="G137" s="83">
        <f t="shared" si="30"/>
        <v>0</v>
      </c>
      <c r="H137" s="83">
        <f t="shared" si="30"/>
        <v>0</v>
      </c>
      <c r="I137" s="83">
        <f t="shared" si="30"/>
        <v>0</v>
      </c>
      <c r="J137" s="83">
        <f t="shared" si="28"/>
        <v>0</v>
      </c>
      <c r="K137" s="149">
        <f>+K136</f>
        <v>0</v>
      </c>
    </row>
    <row r="138" spans="1:11" x14ac:dyDescent="0.25">
      <c r="A138" s="145"/>
      <c r="B138" s="304"/>
      <c r="C138" s="216"/>
      <c r="D138" s="80"/>
      <c r="E138" s="80"/>
      <c r="F138" s="216"/>
      <c r="G138" s="216"/>
      <c r="H138" s="216"/>
      <c r="I138" s="80"/>
      <c r="J138" s="216">
        <f t="shared" si="28"/>
        <v>0</v>
      </c>
      <c r="K138" s="100"/>
    </row>
    <row r="139" spans="1:11" x14ac:dyDescent="0.25">
      <c r="A139" s="62"/>
      <c r="B139" s="278"/>
      <c r="C139" s="217"/>
      <c r="D139" s="16"/>
      <c r="E139" s="16"/>
      <c r="F139" s="217"/>
      <c r="G139" s="217"/>
      <c r="H139" s="217"/>
      <c r="I139" s="16"/>
      <c r="J139" s="217">
        <f t="shared" si="28"/>
        <v>0</v>
      </c>
      <c r="K139" s="9">
        <f>+K138+J139</f>
        <v>0</v>
      </c>
    </row>
    <row r="140" spans="1:11" ht="15.75" thickBot="1" x14ac:dyDescent="0.3">
      <c r="A140" s="69"/>
      <c r="B140" s="316"/>
      <c r="C140" s="282"/>
      <c r="D140" s="282"/>
      <c r="E140" s="282"/>
      <c r="F140" s="282"/>
      <c r="G140" s="282"/>
      <c r="H140" s="282"/>
      <c r="I140" s="282"/>
      <c r="J140" s="282">
        <f t="shared" si="28"/>
        <v>0</v>
      </c>
      <c r="K140" s="9">
        <f>+K139+J140</f>
        <v>0</v>
      </c>
    </row>
    <row r="141" spans="1:11" ht="15.75" thickBot="1" x14ac:dyDescent="0.3">
      <c r="A141" s="350"/>
      <c r="B141" s="351"/>
      <c r="C141" s="333"/>
      <c r="D141" s="83"/>
      <c r="E141" s="83"/>
      <c r="F141" s="83"/>
      <c r="G141" s="83"/>
      <c r="H141" s="83"/>
      <c r="I141" s="83"/>
      <c r="J141" s="83"/>
      <c r="K141" s="149">
        <f>SUM(K140)</f>
        <v>0</v>
      </c>
    </row>
    <row r="142" spans="1:11" ht="15.75" thickBot="1" x14ac:dyDescent="0.3">
      <c r="A142" s="145"/>
      <c r="B142" s="304"/>
      <c r="C142" s="216"/>
      <c r="D142" s="216"/>
      <c r="E142" s="216"/>
      <c r="F142" s="216"/>
      <c r="G142" s="216"/>
      <c r="H142" s="216"/>
      <c r="I142" s="216"/>
      <c r="J142" s="377">
        <f>SUM(C142:I142)</f>
        <v>0</v>
      </c>
      <c r="K142" s="100">
        <f>+K141+J142</f>
        <v>0</v>
      </c>
    </row>
    <row r="143" spans="1:11" ht="15.75" thickBot="1" x14ac:dyDescent="0.3">
      <c r="A143" s="319"/>
      <c r="B143" s="339"/>
      <c r="C143" s="83"/>
      <c r="D143" s="83"/>
      <c r="E143" s="83"/>
      <c r="F143" s="83"/>
      <c r="G143" s="83"/>
      <c r="H143" s="83"/>
      <c r="I143" s="83"/>
      <c r="J143" s="381">
        <f>SUM(J142)</f>
        <v>0</v>
      </c>
      <c r="K143" s="115">
        <f>SUM(K142)</f>
        <v>0</v>
      </c>
    </row>
    <row r="144" spans="1:11" x14ac:dyDescent="0.25">
      <c r="A144" s="226"/>
      <c r="B144" s="345"/>
      <c r="C144" s="78"/>
      <c r="D144" s="78"/>
      <c r="E144" s="78"/>
      <c r="F144" s="78"/>
      <c r="G144" s="78"/>
      <c r="H144" s="78"/>
      <c r="I144" s="78"/>
      <c r="J144" s="368">
        <f>SUM(C144:I144)</f>
        <v>0</v>
      </c>
      <c r="K144" s="127">
        <f>+K143+J144</f>
        <v>0</v>
      </c>
    </row>
    <row r="145" spans="1:11" x14ac:dyDescent="0.25">
      <c r="A145" s="226"/>
      <c r="B145" s="345"/>
      <c r="C145" s="78"/>
      <c r="D145" s="78"/>
      <c r="E145" s="78"/>
      <c r="F145" s="78"/>
      <c r="G145" s="78"/>
      <c r="H145" s="78"/>
      <c r="I145" s="78"/>
      <c r="J145" s="368">
        <f>SUM(C145:I145)</f>
        <v>0</v>
      </c>
      <c r="K145" s="127">
        <f>+K144+J145</f>
        <v>0</v>
      </c>
    </row>
    <row r="146" spans="1:11" x14ac:dyDescent="0.25">
      <c r="A146" s="226"/>
      <c r="B146" s="345"/>
      <c r="C146" s="78"/>
      <c r="D146" s="78"/>
      <c r="E146" s="124"/>
      <c r="F146" s="124"/>
      <c r="G146" s="124"/>
      <c r="H146" s="124"/>
      <c r="I146" s="124"/>
      <c r="J146" s="368">
        <f>SUM(C146:I146)</f>
        <v>0</v>
      </c>
      <c r="K146" s="127">
        <f>+K145+J146</f>
        <v>0</v>
      </c>
    </row>
    <row r="147" spans="1:11" x14ac:dyDescent="0.25">
      <c r="A147" s="226"/>
      <c r="B147" s="345"/>
      <c r="C147" s="78"/>
      <c r="D147" s="124"/>
      <c r="E147" s="124"/>
      <c r="F147" s="124"/>
      <c r="G147" s="124"/>
      <c r="H147" s="124"/>
      <c r="I147" s="124"/>
      <c r="J147" s="368">
        <f>SUM(C147:I147)</f>
        <v>0</v>
      </c>
      <c r="K147" s="127">
        <f>+K146+J147</f>
        <v>0</v>
      </c>
    </row>
    <row r="148" spans="1:11" ht="15.75" thickBot="1" x14ac:dyDescent="0.3">
      <c r="A148" s="226"/>
      <c r="B148" s="296"/>
      <c r="C148" s="124"/>
      <c r="D148" s="78"/>
      <c r="E148" s="124"/>
      <c r="F148" s="124"/>
      <c r="G148" s="124"/>
      <c r="H148" s="124"/>
      <c r="I148" s="124"/>
      <c r="J148" s="368">
        <f>SUM(C148:I148)</f>
        <v>0</v>
      </c>
      <c r="K148" s="127">
        <f>+K147+J148</f>
        <v>0</v>
      </c>
    </row>
    <row r="149" spans="1:11" ht="15.75" thickBot="1" x14ac:dyDescent="0.3">
      <c r="A149" s="164"/>
      <c r="B149" s="339"/>
      <c r="C149" s="83">
        <f t="shared" ref="C149:I149" si="31">SUM(C143:C148)</f>
        <v>0</v>
      </c>
      <c r="D149" s="83">
        <f t="shared" si="31"/>
        <v>0</v>
      </c>
      <c r="E149" s="83">
        <f t="shared" si="31"/>
        <v>0</v>
      </c>
      <c r="F149" s="83">
        <f t="shared" si="31"/>
        <v>0</v>
      </c>
      <c r="G149" s="83">
        <f t="shared" si="31"/>
        <v>0</v>
      </c>
      <c r="H149" s="83">
        <f t="shared" si="31"/>
        <v>0</v>
      </c>
      <c r="I149" s="83">
        <f t="shared" si="31"/>
        <v>0</v>
      </c>
      <c r="J149" s="83">
        <f>SUM(J144:J148)</f>
        <v>0</v>
      </c>
      <c r="K149" s="149" t="e">
        <f>+#REF!</f>
        <v>#REF!</v>
      </c>
    </row>
    <row r="150" spans="1:11" x14ac:dyDescent="0.25">
      <c r="A150" t="s">
        <v>5</v>
      </c>
    </row>
    <row r="151" spans="1:11" ht="15.75" thickBot="1" x14ac:dyDescent="0.3"/>
    <row r="152" spans="1:11" ht="15.75" thickBot="1" x14ac:dyDescent="0.3">
      <c r="A152" s="325"/>
      <c r="B152" s="325"/>
      <c r="C152" s="326">
        <f t="shared" ref="C152:I152" si="32">C11-C137</f>
        <v>4728000</v>
      </c>
      <c r="D152" s="326">
        <f t="shared" si="32"/>
        <v>453000</v>
      </c>
      <c r="E152" s="326">
        <f t="shared" si="32"/>
        <v>200000</v>
      </c>
      <c r="F152" s="326">
        <f t="shared" si="32"/>
        <v>5500000</v>
      </c>
      <c r="G152" s="326">
        <f t="shared" si="32"/>
        <v>1650000</v>
      </c>
      <c r="H152" s="326">
        <f t="shared" si="32"/>
        <v>4000000</v>
      </c>
      <c r="I152" s="326">
        <f t="shared" si="32"/>
        <v>0</v>
      </c>
      <c r="J152" s="325"/>
      <c r="K152" s="326">
        <f>SUM(C152:J152)</f>
        <v>16531000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89"/>
  <sheetViews>
    <sheetView view="pageLayout" topLeftCell="A78" zoomScaleNormal="100" workbookViewId="0">
      <selection activeCell="D83" sqref="D83"/>
    </sheetView>
  </sheetViews>
  <sheetFormatPr baseColWidth="10" defaultColWidth="11.42578125" defaultRowHeight="15" x14ac:dyDescent="0.25"/>
  <cols>
    <col min="1" max="1" width="13.5703125" customWidth="1"/>
    <col min="2" max="2" width="10" customWidth="1"/>
    <col min="3" max="3" width="12" customWidth="1"/>
    <col min="4" max="4" width="10.140625" customWidth="1"/>
    <col min="5" max="5" width="10.28515625" customWidth="1"/>
    <col min="6" max="6" width="10.42578125" customWidth="1"/>
    <col min="7" max="7" width="10.140625" customWidth="1"/>
    <col min="8" max="8" width="10.5703125" customWidth="1"/>
    <col min="9" max="9" width="10.42578125" customWidth="1"/>
    <col min="10" max="10" width="12" customWidth="1"/>
    <col min="11" max="11" width="11.7109375" customWidth="1"/>
    <col min="12" max="12" width="13.7109375" customWidth="1"/>
    <col min="13" max="13" width="13.855468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60013</v>
      </c>
      <c r="I3" t="s">
        <v>75</v>
      </c>
    </row>
    <row r="4" spans="1:11" x14ac:dyDescent="0.25">
      <c r="E4" t="s">
        <v>6</v>
      </c>
      <c r="F4" s="13" t="s">
        <v>24</v>
      </c>
    </row>
    <row r="5" spans="1:11" ht="15.75" thickBot="1" x14ac:dyDescent="0.3"/>
    <row r="6" spans="1:11" ht="31.5" customHeight="1" thickBot="1" x14ac:dyDescent="0.35">
      <c r="A6" s="39" t="s">
        <v>1</v>
      </c>
      <c r="B6" s="41"/>
      <c r="C6" s="44">
        <v>1</v>
      </c>
      <c r="D6" s="41"/>
      <c r="E6" s="41"/>
      <c r="F6" s="41"/>
      <c r="G6" s="41"/>
      <c r="H6" s="41"/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>
        <v>9008000</v>
      </c>
      <c r="D7" s="26"/>
      <c r="E7" s="26"/>
      <c r="F7" s="26"/>
      <c r="G7" s="26"/>
      <c r="H7" s="26"/>
      <c r="I7" s="26"/>
      <c r="J7" s="28">
        <f>SUM(B7:I7)</f>
        <v>9008000</v>
      </c>
      <c r="K7" s="29">
        <f>J7</f>
        <v>9008000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/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396">
        <f t="shared" ref="B11:J11" si="0">SUM(B7:B10)</f>
        <v>0</v>
      </c>
      <c r="C11" s="27">
        <f t="shared" si="0"/>
        <v>9008000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9008000</v>
      </c>
      <c r="K11" s="23">
        <f>K10+J11</f>
        <v>9008000</v>
      </c>
    </row>
    <row r="12" spans="1:11" ht="27" thickBot="1" x14ac:dyDescent="0.3">
      <c r="A12" s="46" t="s">
        <v>21</v>
      </c>
      <c r="B12" s="98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407" t="s">
        <v>76</v>
      </c>
      <c r="B13" s="202"/>
      <c r="C13" s="420">
        <v>622938</v>
      </c>
      <c r="D13" s="59"/>
      <c r="E13" s="59"/>
      <c r="F13" s="59"/>
      <c r="G13" s="59"/>
      <c r="H13" s="59"/>
      <c r="I13" s="59"/>
      <c r="J13" s="59">
        <f>SUM(C13:I13)</f>
        <v>622938</v>
      </c>
      <c r="K13" s="67">
        <f>+J13</f>
        <v>622938</v>
      </c>
    </row>
    <row r="14" spans="1:11" ht="15.75" thickBot="1" x14ac:dyDescent="0.3">
      <c r="A14" s="412" t="s">
        <v>115</v>
      </c>
      <c r="B14" s="447"/>
      <c r="C14" s="425">
        <v>622938</v>
      </c>
      <c r="D14" s="10"/>
      <c r="E14" s="10"/>
      <c r="F14" s="10"/>
      <c r="G14" s="10"/>
      <c r="H14" s="10"/>
      <c r="I14" s="10"/>
      <c r="J14" s="10">
        <f>SUM(C14:I14)</f>
        <v>622938</v>
      </c>
      <c r="K14" s="10">
        <f>+K13+J14</f>
        <v>1245876</v>
      </c>
    </row>
    <row r="15" spans="1:11" x14ac:dyDescent="0.25">
      <c r="A15" s="109" t="s">
        <v>51</v>
      </c>
      <c r="B15" s="80"/>
      <c r="C15" s="80">
        <f>SUM(C13:C14)</f>
        <v>1245876</v>
      </c>
      <c r="D15" s="80"/>
      <c r="E15" s="80"/>
      <c r="F15" s="80"/>
      <c r="G15" s="80"/>
      <c r="H15" s="80"/>
      <c r="I15" s="80"/>
      <c r="J15" s="80">
        <f>SUM(J13:J14)</f>
        <v>1245876</v>
      </c>
      <c r="K15" s="80">
        <f>SUM(K14)</f>
        <v>1245876</v>
      </c>
    </row>
    <row r="16" spans="1:11" x14ac:dyDescent="0.25">
      <c r="A16" s="99" t="s">
        <v>162</v>
      </c>
      <c r="B16" s="80"/>
      <c r="C16" s="81">
        <v>340058</v>
      </c>
      <c r="D16" s="80"/>
      <c r="E16" s="80"/>
      <c r="F16" s="80"/>
      <c r="G16" s="80"/>
      <c r="H16" s="16"/>
      <c r="I16" s="16"/>
      <c r="J16" s="137">
        <f t="shared" ref="J16:J21" si="1">SUM(C16:I16)</f>
        <v>340058</v>
      </c>
      <c r="K16" s="100">
        <f t="shared" ref="K16:K21" si="2">+K15+J16</f>
        <v>1585934</v>
      </c>
    </row>
    <row r="17" spans="1:11" x14ac:dyDescent="0.25">
      <c r="A17" s="99" t="s">
        <v>163</v>
      </c>
      <c r="B17" s="80"/>
      <c r="C17" s="81">
        <v>56576</v>
      </c>
      <c r="D17" s="80"/>
      <c r="E17" s="80"/>
      <c r="F17" s="80"/>
      <c r="G17" s="80"/>
      <c r="H17" s="80"/>
      <c r="I17" s="291"/>
      <c r="J17" s="137">
        <f t="shared" si="1"/>
        <v>56576</v>
      </c>
      <c r="K17" s="100">
        <f t="shared" si="2"/>
        <v>1642510</v>
      </c>
    </row>
    <row r="18" spans="1:11" x14ac:dyDescent="0.25">
      <c r="A18" s="99" t="s">
        <v>164</v>
      </c>
      <c r="B18" s="80"/>
      <c r="C18" s="81">
        <v>56576</v>
      </c>
      <c r="D18" s="80"/>
      <c r="E18" s="80"/>
      <c r="F18" s="80"/>
      <c r="G18" s="80"/>
      <c r="H18" s="80"/>
      <c r="I18" s="80"/>
      <c r="J18" s="137">
        <f t="shared" si="1"/>
        <v>56576</v>
      </c>
      <c r="K18" s="100">
        <f t="shared" si="2"/>
        <v>1699086</v>
      </c>
    </row>
    <row r="19" spans="1:11" x14ac:dyDescent="0.25">
      <c r="A19" s="88" t="s">
        <v>165</v>
      </c>
      <c r="B19" s="8"/>
      <c r="C19" s="8">
        <v>56576</v>
      </c>
      <c r="D19" s="8"/>
      <c r="E19" s="8"/>
      <c r="F19" s="8"/>
      <c r="G19" s="8"/>
      <c r="H19" s="8"/>
      <c r="I19" s="8"/>
      <c r="J19" s="8">
        <f t="shared" si="1"/>
        <v>56576</v>
      </c>
      <c r="K19" s="100">
        <f t="shared" si="2"/>
        <v>1755662</v>
      </c>
    </row>
    <row r="20" spans="1:11" x14ac:dyDescent="0.25">
      <c r="A20" s="85" t="s">
        <v>166</v>
      </c>
      <c r="B20" s="16"/>
      <c r="C20" s="8">
        <v>56576</v>
      </c>
      <c r="D20" s="8"/>
      <c r="E20" s="8"/>
      <c r="F20" s="8"/>
      <c r="G20" s="8"/>
      <c r="H20" s="8"/>
      <c r="I20" s="8"/>
      <c r="J20" s="8">
        <f t="shared" si="1"/>
        <v>56576</v>
      </c>
      <c r="K20" s="100">
        <f t="shared" si="2"/>
        <v>1812238</v>
      </c>
    </row>
    <row r="21" spans="1:11" ht="15.75" thickBot="1" x14ac:dyDescent="0.3">
      <c r="A21" s="431" t="s">
        <v>167</v>
      </c>
      <c r="B21" s="10"/>
      <c r="C21" s="10">
        <v>56576</v>
      </c>
      <c r="D21" s="10"/>
      <c r="E21" s="3"/>
      <c r="F21" s="10"/>
      <c r="G21" s="10"/>
      <c r="H21" s="10"/>
      <c r="I21" s="10"/>
      <c r="J21" s="10">
        <f t="shared" si="1"/>
        <v>56576</v>
      </c>
      <c r="K21" s="11">
        <f t="shared" si="2"/>
        <v>1868814</v>
      </c>
    </row>
    <row r="22" spans="1:11" x14ac:dyDescent="0.25">
      <c r="A22" s="123" t="s">
        <v>370</v>
      </c>
      <c r="B22" s="124"/>
      <c r="C22" s="124">
        <f>SUM(C15:C21)</f>
        <v>1868814</v>
      </c>
      <c r="D22" s="124"/>
      <c r="E22" s="124"/>
      <c r="F22" s="124"/>
      <c r="G22" s="124"/>
      <c r="H22" s="124"/>
      <c r="I22" s="124"/>
      <c r="J22" s="124">
        <f>SUM(J16:J21)</f>
        <v>622938</v>
      </c>
      <c r="K22" s="128">
        <f>+K21</f>
        <v>1868814</v>
      </c>
    </row>
    <row r="23" spans="1:11" x14ac:dyDescent="0.25">
      <c r="A23" s="158" t="s">
        <v>232</v>
      </c>
      <c r="B23" s="16"/>
      <c r="C23" s="8">
        <v>340058</v>
      </c>
      <c r="D23" s="16"/>
      <c r="E23" s="8"/>
      <c r="F23" s="16"/>
      <c r="G23" s="16"/>
      <c r="H23" s="16"/>
      <c r="I23" s="16"/>
      <c r="J23" s="8">
        <f>SUM(C23:I23)</f>
        <v>340058</v>
      </c>
      <c r="K23" s="8">
        <f>K22+J23</f>
        <v>2208872</v>
      </c>
    </row>
    <row r="24" spans="1:11" ht="15.75" thickBot="1" x14ac:dyDescent="0.3">
      <c r="A24" s="431" t="s">
        <v>233</v>
      </c>
      <c r="B24" s="10"/>
      <c r="C24" s="10">
        <v>56576</v>
      </c>
      <c r="D24" s="10"/>
      <c r="E24" s="3"/>
      <c r="F24" s="10"/>
      <c r="G24" s="10"/>
      <c r="H24" s="10"/>
      <c r="I24" s="10"/>
      <c r="J24" s="10">
        <f>SUM(C24:I24)</f>
        <v>56576</v>
      </c>
      <c r="K24" s="8">
        <f>K23+J24</f>
        <v>2265448</v>
      </c>
    </row>
    <row r="25" spans="1:11" ht="23.25" customHeight="1" thickBot="1" x14ac:dyDescent="0.3">
      <c r="A25" s="36" t="s">
        <v>0</v>
      </c>
      <c r="B25" s="15">
        <v>0</v>
      </c>
      <c r="C25" s="15">
        <f>SUM(C22:C24)</f>
        <v>2265448</v>
      </c>
      <c r="D25" s="15">
        <f t="shared" ref="D25:I25" si="3">SUM(D22:D24)</f>
        <v>0</v>
      </c>
      <c r="E25" s="15">
        <f t="shared" si="3"/>
        <v>0</v>
      </c>
      <c r="F25" s="15">
        <f t="shared" si="3"/>
        <v>0</v>
      </c>
      <c r="G25" s="15">
        <f t="shared" si="3"/>
        <v>0</v>
      </c>
      <c r="H25" s="15">
        <f t="shared" si="3"/>
        <v>0</v>
      </c>
      <c r="I25" s="15">
        <f t="shared" si="3"/>
        <v>0</v>
      </c>
      <c r="J25" s="15">
        <f>SUM(J23:J24)</f>
        <v>396634</v>
      </c>
      <c r="K25" s="14">
        <f>+K24</f>
        <v>2265448</v>
      </c>
    </row>
    <row r="26" spans="1:11" x14ac:dyDescent="0.25">
      <c r="A26" t="s">
        <v>5</v>
      </c>
    </row>
    <row r="28" spans="1:11" x14ac:dyDescent="0.25">
      <c r="A28" t="s">
        <v>9</v>
      </c>
      <c r="E28" t="s">
        <v>50</v>
      </c>
      <c r="I28" t="s">
        <v>45</v>
      </c>
    </row>
    <row r="29" spans="1:11" x14ac:dyDescent="0.25">
      <c r="A29" t="s">
        <v>44</v>
      </c>
    </row>
    <row r="30" spans="1:11" x14ac:dyDescent="0.25">
      <c r="E30" t="s">
        <v>13</v>
      </c>
      <c r="F30" s="13">
        <v>60013</v>
      </c>
      <c r="I30" t="s">
        <v>75</v>
      </c>
    </row>
    <row r="31" spans="1:11" x14ac:dyDescent="0.25">
      <c r="E31" t="s">
        <v>6</v>
      </c>
      <c r="F31" s="13" t="s">
        <v>24</v>
      </c>
    </row>
    <row r="32" spans="1:11" ht="15.75" thickBot="1" x14ac:dyDescent="0.3"/>
    <row r="33" spans="1:11" ht="30.75" thickBot="1" x14ac:dyDescent="0.3">
      <c r="A33" s="75" t="s">
        <v>42</v>
      </c>
      <c r="B33" s="4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6</v>
      </c>
      <c r="I33" s="45">
        <v>7</v>
      </c>
      <c r="J33" s="51" t="s">
        <v>16</v>
      </c>
      <c r="K33" s="40" t="s">
        <v>17</v>
      </c>
    </row>
    <row r="34" spans="1:11" x14ac:dyDescent="0.25">
      <c r="A34" s="76" t="s">
        <v>43</v>
      </c>
      <c r="B34" s="35"/>
      <c r="C34" s="35">
        <f t="shared" ref="C34:K34" si="4">+C25</f>
        <v>2265448</v>
      </c>
      <c r="D34" s="35">
        <f t="shared" si="4"/>
        <v>0</v>
      </c>
      <c r="E34" s="35">
        <f t="shared" si="4"/>
        <v>0</v>
      </c>
      <c r="F34" s="35">
        <f t="shared" si="4"/>
        <v>0</v>
      </c>
      <c r="G34" s="35">
        <f t="shared" si="4"/>
        <v>0</v>
      </c>
      <c r="H34" s="35">
        <f t="shared" si="4"/>
        <v>0</v>
      </c>
      <c r="I34" s="35">
        <f t="shared" si="4"/>
        <v>0</v>
      </c>
      <c r="J34" s="35">
        <f t="shared" si="4"/>
        <v>396634</v>
      </c>
      <c r="K34" s="35">
        <f t="shared" si="4"/>
        <v>2265448</v>
      </c>
    </row>
    <row r="35" spans="1:11" x14ac:dyDescent="0.25">
      <c r="A35" s="61" t="s">
        <v>234</v>
      </c>
      <c r="B35" s="8"/>
      <c r="C35" s="8">
        <v>56576</v>
      </c>
      <c r="D35" s="16"/>
      <c r="E35" s="16"/>
      <c r="F35" s="16"/>
      <c r="G35" s="16"/>
      <c r="H35" s="16"/>
      <c r="I35" s="16"/>
      <c r="J35" s="64">
        <f t="shared" ref="J35:J41" si="5">SUM(C35:I35)</f>
        <v>56576</v>
      </c>
      <c r="K35" s="9">
        <f>K34+J35</f>
        <v>2322024</v>
      </c>
    </row>
    <row r="36" spans="1:11" x14ac:dyDescent="0.25">
      <c r="A36" s="61" t="s">
        <v>235</v>
      </c>
      <c r="B36" s="8"/>
      <c r="C36" s="8">
        <v>56576</v>
      </c>
      <c r="D36" s="16"/>
      <c r="E36" s="16"/>
      <c r="F36" s="16"/>
      <c r="G36" s="16"/>
      <c r="H36" s="16"/>
      <c r="I36" s="16"/>
      <c r="J36" s="64">
        <f t="shared" si="5"/>
        <v>56576</v>
      </c>
      <c r="K36" s="9">
        <f>K35+J36</f>
        <v>2378600</v>
      </c>
    </row>
    <row r="37" spans="1:11" x14ac:dyDescent="0.25">
      <c r="A37" s="61" t="s">
        <v>236</v>
      </c>
      <c r="B37" s="8"/>
      <c r="C37" s="8">
        <v>56576</v>
      </c>
      <c r="D37" s="8"/>
      <c r="E37" s="16"/>
      <c r="F37" s="16"/>
      <c r="G37" s="16"/>
      <c r="H37" s="16"/>
      <c r="I37" s="16"/>
      <c r="J37" s="64">
        <f t="shared" si="5"/>
        <v>56576</v>
      </c>
      <c r="K37" s="9">
        <f>K36+J37</f>
        <v>2435176</v>
      </c>
    </row>
    <row r="38" spans="1:11" ht="15.75" thickBot="1" x14ac:dyDescent="0.3">
      <c r="A38" s="73" t="s">
        <v>237</v>
      </c>
      <c r="B38" s="3"/>
      <c r="C38" s="10">
        <v>56576</v>
      </c>
      <c r="D38" s="3"/>
      <c r="E38" s="3"/>
      <c r="F38" s="3"/>
      <c r="G38" s="3"/>
      <c r="H38" s="3"/>
      <c r="I38" s="3"/>
      <c r="J38" s="10">
        <f t="shared" si="5"/>
        <v>56576</v>
      </c>
      <c r="K38" s="11">
        <f>K37+J38</f>
        <v>2491752</v>
      </c>
    </row>
    <row r="39" spans="1:11" x14ac:dyDescent="0.25">
      <c r="A39" s="79" t="s">
        <v>59</v>
      </c>
      <c r="B39" s="80"/>
      <c r="C39" s="80">
        <f>SUM(C34:C38)</f>
        <v>2491752</v>
      </c>
      <c r="D39" s="80"/>
      <c r="E39" s="80"/>
      <c r="F39" s="80"/>
      <c r="G39" s="80"/>
      <c r="H39" s="80"/>
      <c r="I39" s="80"/>
      <c r="J39" s="124">
        <f>SUM(J34:J38)</f>
        <v>622938</v>
      </c>
      <c r="K39" s="82">
        <f>+K38</f>
        <v>2491752</v>
      </c>
    </row>
    <row r="40" spans="1:11" x14ac:dyDescent="0.25">
      <c r="A40" s="62" t="s">
        <v>303</v>
      </c>
      <c r="B40" s="8"/>
      <c r="C40" s="8">
        <v>340058</v>
      </c>
      <c r="D40" s="16"/>
      <c r="E40" s="16"/>
      <c r="F40" s="16"/>
      <c r="G40" s="16"/>
      <c r="H40" s="16"/>
      <c r="I40" s="16"/>
      <c r="J40" s="364">
        <f t="shared" si="5"/>
        <v>340058</v>
      </c>
      <c r="K40" s="9">
        <f t="shared" ref="K40:K45" si="6">+K39+J40</f>
        <v>2831810</v>
      </c>
    </row>
    <row r="41" spans="1:11" x14ac:dyDescent="0.25">
      <c r="A41" s="79" t="s">
        <v>304</v>
      </c>
      <c r="B41" s="80"/>
      <c r="C41" s="81">
        <v>56576</v>
      </c>
      <c r="D41" s="80"/>
      <c r="E41" s="80"/>
      <c r="F41" s="80"/>
      <c r="G41" s="80"/>
      <c r="H41" s="80"/>
      <c r="I41" s="80"/>
      <c r="J41" s="364">
        <f t="shared" si="5"/>
        <v>56576</v>
      </c>
      <c r="K41" s="9">
        <f t="shared" si="6"/>
        <v>2888386</v>
      </c>
    </row>
    <row r="42" spans="1:11" x14ac:dyDescent="0.25">
      <c r="A42" s="62" t="s">
        <v>305</v>
      </c>
      <c r="B42" s="8"/>
      <c r="C42" s="8">
        <v>56576</v>
      </c>
      <c r="D42" s="16"/>
      <c r="E42" s="16"/>
      <c r="F42" s="16"/>
      <c r="G42" s="16"/>
      <c r="H42" s="16"/>
      <c r="I42" s="16"/>
      <c r="J42" s="364">
        <f>SUM(C42:I42)</f>
        <v>56576</v>
      </c>
      <c r="K42" s="9">
        <f t="shared" si="6"/>
        <v>2944962</v>
      </c>
    </row>
    <row r="43" spans="1:11" x14ac:dyDescent="0.25">
      <c r="A43" s="79" t="s">
        <v>306</v>
      </c>
      <c r="B43" s="80"/>
      <c r="C43" s="81">
        <v>56576</v>
      </c>
      <c r="D43" s="80"/>
      <c r="E43" s="80"/>
      <c r="F43" s="80"/>
      <c r="G43" s="80"/>
      <c r="H43" s="80"/>
      <c r="I43" s="80"/>
      <c r="J43" s="449">
        <f>SUM(J42)</f>
        <v>56576</v>
      </c>
      <c r="K43" s="9">
        <f t="shared" si="6"/>
        <v>3001538</v>
      </c>
    </row>
    <row r="44" spans="1:11" x14ac:dyDescent="0.25">
      <c r="A44" s="62" t="s">
        <v>307</v>
      </c>
      <c r="B44" s="8"/>
      <c r="C44" s="8">
        <v>56576</v>
      </c>
      <c r="D44" s="16"/>
      <c r="E44" s="16"/>
      <c r="F44" s="16"/>
      <c r="G44" s="16"/>
      <c r="H44" s="16"/>
      <c r="I44" s="16"/>
      <c r="J44" s="364">
        <f>SUM(C44:I44)</f>
        <v>56576</v>
      </c>
      <c r="K44" s="9">
        <f t="shared" si="6"/>
        <v>3058114</v>
      </c>
    </row>
    <row r="45" spans="1:11" ht="15.75" thickBot="1" x14ac:dyDescent="0.3">
      <c r="A45" s="301" t="s">
        <v>308</v>
      </c>
      <c r="B45" s="15"/>
      <c r="C45" s="116">
        <v>56576</v>
      </c>
      <c r="D45" s="15">
        <f t="shared" ref="D45:I45" si="7">SUM(D43:D44)</f>
        <v>0</v>
      </c>
      <c r="E45" s="15">
        <f t="shared" si="7"/>
        <v>0</v>
      </c>
      <c r="F45" s="15">
        <f t="shared" si="7"/>
        <v>0</v>
      </c>
      <c r="G45" s="15">
        <f t="shared" si="7"/>
        <v>0</v>
      </c>
      <c r="H45" s="15">
        <f t="shared" si="7"/>
        <v>0</v>
      </c>
      <c r="I45" s="15">
        <f t="shared" si="7"/>
        <v>0</v>
      </c>
      <c r="J45" s="448">
        <f>SUM(J44)</f>
        <v>56576</v>
      </c>
      <c r="K45" s="9">
        <f t="shared" si="6"/>
        <v>3114690</v>
      </c>
    </row>
    <row r="46" spans="1:11" x14ac:dyDescent="0.25">
      <c r="A46" s="66" t="s">
        <v>60</v>
      </c>
      <c r="B46" s="35"/>
      <c r="C46" s="35">
        <f>SUM(C39:C45)</f>
        <v>3114690</v>
      </c>
      <c r="D46" s="35"/>
      <c r="E46" s="35"/>
      <c r="F46" s="35"/>
      <c r="G46" s="35"/>
      <c r="H46" s="35"/>
      <c r="I46" s="35"/>
      <c r="J46" s="450">
        <f>SUM(J40:J45)</f>
        <v>622938</v>
      </c>
      <c r="K46" s="12">
        <f>+K45</f>
        <v>3114690</v>
      </c>
    </row>
    <row r="47" spans="1:11" x14ac:dyDescent="0.25">
      <c r="A47" s="200" t="s">
        <v>371</v>
      </c>
      <c r="B47" s="16"/>
      <c r="C47" s="8">
        <v>340058</v>
      </c>
      <c r="D47" s="16">
        <f t="shared" ref="D47:I47" si="8">SUM(D45:D46)</f>
        <v>0</v>
      </c>
      <c r="E47" s="16">
        <f t="shared" si="8"/>
        <v>0</v>
      </c>
      <c r="F47" s="16">
        <f t="shared" si="8"/>
        <v>0</v>
      </c>
      <c r="G47" s="16">
        <f t="shared" si="8"/>
        <v>0</v>
      </c>
      <c r="H47" s="16">
        <f t="shared" si="8"/>
        <v>0</v>
      </c>
      <c r="I47" s="16">
        <f t="shared" si="8"/>
        <v>0</v>
      </c>
      <c r="J47" s="451">
        <f t="shared" ref="J47:J52" si="9">SUM(C47:I47)</f>
        <v>340058</v>
      </c>
      <c r="K47" s="8">
        <f t="shared" ref="K47:K52" si="10">K46+J47</f>
        <v>3454748</v>
      </c>
    </row>
    <row r="48" spans="1:11" x14ac:dyDescent="0.25">
      <c r="A48" s="145" t="s">
        <v>372</v>
      </c>
      <c r="B48" s="81"/>
      <c r="C48" s="81">
        <v>56576</v>
      </c>
      <c r="D48" s="80"/>
      <c r="E48" s="80"/>
      <c r="F48" s="80"/>
      <c r="G48" s="80"/>
      <c r="H48" s="80"/>
      <c r="I48" s="80"/>
      <c r="J48" s="452">
        <f t="shared" si="9"/>
        <v>56576</v>
      </c>
      <c r="K48" s="8">
        <f t="shared" si="10"/>
        <v>3511324</v>
      </c>
    </row>
    <row r="49" spans="1:11" x14ac:dyDescent="0.25">
      <c r="A49" s="69" t="s">
        <v>373</v>
      </c>
      <c r="B49" s="70"/>
      <c r="C49" s="64">
        <v>56576</v>
      </c>
      <c r="D49" s="70"/>
      <c r="E49" s="64"/>
      <c r="F49" s="70"/>
      <c r="G49" s="70"/>
      <c r="H49" s="70"/>
      <c r="I49" s="70"/>
      <c r="J49" s="453">
        <f t="shared" si="9"/>
        <v>56576</v>
      </c>
      <c r="K49" s="8">
        <f t="shared" si="10"/>
        <v>3567900</v>
      </c>
    </row>
    <row r="50" spans="1:11" x14ac:dyDescent="0.25">
      <c r="A50" s="200" t="s">
        <v>374</v>
      </c>
      <c r="B50" s="16"/>
      <c r="C50" s="8">
        <v>56576</v>
      </c>
      <c r="D50" s="16"/>
      <c r="E50" s="8"/>
      <c r="F50" s="16"/>
      <c r="G50" s="16"/>
      <c r="H50" s="16"/>
      <c r="I50" s="16"/>
      <c r="J50" s="451">
        <f t="shared" si="9"/>
        <v>56576</v>
      </c>
      <c r="K50" s="8">
        <f t="shared" si="10"/>
        <v>3624476</v>
      </c>
    </row>
    <row r="51" spans="1:11" x14ac:dyDescent="0.25">
      <c r="A51" s="145" t="s">
        <v>375</v>
      </c>
      <c r="B51" s="80"/>
      <c r="C51" s="81">
        <v>56576</v>
      </c>
      <c r="D51" s="80"/>
      <c r="E51" s="81"/>
      <c r="F51" s="80"/>
      <c r="G51" s="80"/>
      <c r="H51" s="80"/>
      <c r="I51" s="80"/>
      <c r="J51" s="452">
        <f t="shared" si="9"/>
        <v>56576</v>
      </c>
      <c r="K51" s="8">
        <f t="shared" si="10"/>
        <v>3681052</v>
      </c>
    </row>
    <row r="52" spans="1:11" ht="15.75" thickBot="1" x14ac:dyDescent="0.3">
      <c r="A52" s="73" t="s">
        <v>376</v>
      </c>
      <c r="B52" s="3"/>
      <c r="C52" s="10">
        <v>56576</v>
      </c>
      <c r="D52" s="3"/>
      <c r="E52" s="3"/>
      <c r="F52" s="3"/>
      <c r="G52" s="3"/>
      <c r="H52" s="3"/>
      <c r="I52" s="3"/>
      <c r="J52" s="454">
        <f t="shared" si="9"/>
        <v>56576</v>
      </c>
      <c r="K52" s="10">
        <f t="shared" si="10"/>
        <v>3737628</v>
      </c>
    </row>
    <row r="53" spans="1:11" x14ac:dyDescent="0.25">
      <c r="A53" s="79" t="s">
        <v>64</v>
      </c>
      <c r="B53" s="80"/>
      <c r="C53" s="80">
        <f>SUM(C46:C52)</f>
        <v>3737628</v>
      </c>
      <c r="D53" s="80">
        <f t="shared" ref="D53:I53" si="11">SUM(D46:D52)</f>
        <v>0</v>
      </c>
      <c r="E53" s="80">
        <f t="shared" si="11"/>
        <v>0</v>
      </c>
      <c r="F53" s="80">
        <f t="shared" si="11"/>
        <v>0</v>
      </c>
      <c r="G53" s="80">
        <f t="shared" si="11"/>
        <v>0</v>
      </c>
      <c r="H53" s="80">
        <f t="shared" si="11"/>
        <v>0</v>
      </c>
      <c r="I53" s="80">
        <f t="shared" si="11"/>
        <v>0</v>
      </c>
      <c r="J53" s="80">
        <f>SUM(J47:J52)</f>
        <v>622938</v>
      </c>
      <c r="K53" s="82">
        <f>+K52</f>
        <v>3737628</v>
      </c>
    </row>
    <row r="54" spans="1:11" x14ac:dyDescent="0.25">
      <c r="A54" s="145" t="s">
        <v>437</v>
      </c>
      <c r="B54" s="80"/>
      <c r="C54" s="81">
        <v>340058</v>
      </c>
      <c r="D54" s="80"/>
      <c r="E54" s="80"/>
      <c r="F54" s="80"/>
      <c r="G54" s="80"/>
      <c r="H54" s="80"/>
      <c r="I54" s="80"/>
      <c r="J54" s="81">
        <f>SUM(C54:I54)</f>
        <v>340058</v>
      </c>
      <c r="K54" s="100">
        <f>+K53+J54</f>
        <v>4077686</v>
      </c>
    </row>
    <row r="55" spans="1:11" x14ac:dyDescent="0.25">
      <c r="A55" s="145" t="s">
        <v>438</v>
      </c>
      <c r="B55" s="80"/>
      <c r="C55" s="81">
        <v>56576</v>
      </c>
      <c r="D55" s="80"/>
      <c r="E55" s="80"/>
      <c r="F55" s="80"/>
      <c r="G55" s="80"/>
      <c r="H55" s="80"/>
      <c r="I55" s="80"/>
      <c r="J55" s="81">
        <f>SUM(C55:I55)</f>
        <v>56576</v>
      </c>
      <c r="K55" s="100">
        <f>+K54+J55</f>
        <v>4134262</v>
      </c>
    </row>
    <row r="56" spans="1:11" ht="15.75" thickBot="1" x14ac:dyDescent="0.3">
      <c r="A56" s="226" t="s">
        <v>439</v>
      </c>
      <c r="B56" s="78"/>
      <c r="C56" s="78">
        <v>56576</v>
      </c>
      <c r="D56" s="78"/>
      <c r="E56" s="124"/>
      <c r="F56" s="78"/>
      <c r="G56" s="78"/>
      <c r="H56" s="78"/>
      <c r="I56" s="78"/>
      <c r="J56" s="81">
        <f>SUM(C56:I56)</f>
        <v>56576</v>
      </c>
      <c r="K56" s="100">
        <f>+K55+J56</f>
        <v>4190838</v>
      </c>
    </row>
    <row r="57" spans="1:11" ht="15.75" thickBot="1" x14ac:dyDescent="0.3">
      <c r="A57" s="164" t="s">
        <v>61</v>
      </c>
      <c r="B57" s="83"/>
      <c r="C57" s="83">
        <f>SUM(C53:C56)</f>
        <v>4190838</v>
      </c>
      <c r="D57" s="83">
        <f t="shared" ref="D57:I57" si="12">SUM(D53:D56)</f>
        <v>0</v>
      </c>
      <c r="E57" s="83">
        <f t="shared" si="12"/>
        <v>0</v>
      </c>
      <c r="F57" s="83">
        <f t="shared" si="12"/>
        <v>0</v>
      </c>
      <c r="G57" s="83">
        <f t="shared" si="12"/>
        <v>0</v>
      </c>
      <c r="H57" s="83">
        <f t="shared" si="12"/>
        <v>0</v>
      </c>
      <c r="I57" s="83">
        <f t="shared" si="12"/>
        <v>0</v>
      </c>
      <c r="J57" s="83">
        <f>SUM(J54:J56)</f>
        <v>453210</v>
      </c>
      <c r="K57" s="149">
        <f>+K56</f>
        <v>4190838</v>
      </c>
    </row>
    <row r="58" spans="1:11" ht="15.75" thickBot="1" x14ac:dyDescent="0.3">
      <c r="A58" t="s">
        <v>5</v>
      </c>
    </row>
    <row r="59" spans="1:11" ht="15.75" thickBot="1" x14ac:dyDescent="0.3">
      <c r="A59" s="325" t="s">
        <v>67</v>
      </c>
      <c r="B59" s="325"/>
      <c r="C59" s="326">
        <f>+C7-C52</f>
        <v>8951424</v>
      </c>
      <c r="D59" s="326">
        <f t="shared" ref="D59:I59" si="13">+D7-D45</f>
        <v>0</v>
      </c>
      <c r="E59" s="326">
        <f t="shared" si="13"/>
        <v>0</v>
      </c>
      <c r="F59" s="326">
        <f t="shared" si="13"/>
        <v>0</v>
      </c>
      <c r="G59" s="326">
        <f t="shared" si="13"/>
        <v>0</v>
      </c>
      <c r="H59" s="326">
        <f t="shared" si="13"/>
        <v>0</v>
      </c>
      <c r="I59" s="326">
        <f t="shared" si="13"/>
        <v>0</v>
      </c>
      <c r="J59" s="326"/>
      <c r="K59" s="326">
        <f>+K7-K47</f>
        <v>5553252</v>
      </c>
    </row>
    <row r="60" spans="1:11" x14ac:dyDescent="0.25">
      <c r="A60" t="s">
        <v>9</v>
      </c>
      <c r="E60" t="s">
        <v>50</v>
      </c>
      <c r="I60" t="s">
        <v>45</v>
      </c>
    </row>
    <row r="61" spans="1:11" x14ac:dyDescent="0.25">
      <c r="A61" t="s">
        <v>44</v>
      </c>
    </row>
    <row r="62" spans="1:11" x14ac:dyDescent="0.25">
      <c r="E62" t="s">
        <v>13</v>
      </c>
      <c r="F62" s="13">
        <v>60013</v>
      </c>
      <c r="I62" t="s">
        <v>75</v>
      </c>
    </row>
    <row r="63" spans="1:11" x14ac:dyDescent="0.25">
      <c r="E63" t="s">
        <v>6</v>
      </c>
      <c r="F63" s="13" t="s">
        <v>24</v>
      </c>
    </row>
    <row r="64" spans="1:11" ht="15.75" thickBot="1" x14ac:dyDescent="0.3"/>
    <row r="65" spans="1:11" ht="30.75" thickBot="1" x14ac:dyDescent="0.3">
      <c r="A65" s="75" t="s">
        <v>42</v>
      </c>
      <c r="B65" s="4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>
        <v>6</v>
      </c>
      <c r="I65" s="45">
        <v>7</v>
      </c>
      <c r="J65" s="51" t="s">
        <v>16</v>
      </c>
      <c r="K65" s="40" t="s">
        <v>17</v>
      </c>
    </row>
    <row r="66" spans="1:11" x14ac:dyDescent="0.25">
      <c r="A66" s="76" t="s">
        <v>43</v>
      </c>
      <c r="B66" s="35"/>
      <c r="C66" s="35">
        <f>+C57</f>
        <v>4190838</v>
      </c>
      <c r="D66" s="35">
        <f t="shared" ref="D66:I66" si="14">+D57</f>
        <v>0</v>
      </c>
      <c r="E66" s="35">
        <f t="shared" si="14"/>
        <v>0</v>
      </c>
      <c r="F66" s="35">
        <f t="shared" si="14"/>
        <v>0</v>
      </c>
      <c r="G66" s="35">
        <f t="shared" si="14"/>
        <v>0</v>
      </c>
      <c r="H66" s="35">
        <f t="shared" si="14"/>
        <v>0</v>
      </c>
      <c r="I66" s="35">
        <f t="shared" si="14"/>
        <v>0</v>
      </c>
      <c r="J66" s="35">
        <f>+J57</f>
        <v>453210</v>
      </c>
      <c r="K66" s="35">
        <f>+K57</f>
        <v>4190838</v>
      </c>
    </row>
    <row r="67" spans="1:11" x14ac:dyDescent="0.25">
      <c r="A67" s="62" t="s">
        <v>440</v>
      </c>
      <c r="B67" s="16"/>
      <c r="C67" s="8">
        <v>56576</v>
      </c>
      <c r="D67" s="80"/>
      <c r="E67" s="80"/>
      <c r="F67" s="80"/>
      <c r="G67" s="80"/>
      <c r="H67" s="80"/>
      <c r="I67" s="80"/>
      <c r="J67" s="78">
        <f>SUM(C67:I67)</f>
        <v>56576</v>
      </c>
      <c r="K67" s="81">
        <f>+K66+J67</f>
        <v>4247414</v>
      </c>
    </row>
    <row r="68" spans="1:11" x14ac:dyDescent="0.25">
      <c r="A68" s="382" t="s">
        <v>441</v>
      </c>
      <c r="B68" s="81"/>
      <c r="C68" s="81">
        <v>56576</v>
      </c>
      <c r="D68" s="16"/>
      <c r="E68" s="16"/>
      <c r="F68" s="16"/>
      <c r="G68" s="16"/>
      <c r="H68" s="16"/>
      <c r="I68" s="16"/>
      <c r="J68" s="64">
        <f t="shared" ref="J68:J85" si="15">SUM(C68:I68)</f>
        <v>56576</v>
      </c>
      <c r="K68" s="81">
        <f>+K67+J68</f>
        <v>4303990</v>
      </c>
    </row>
    <row r="69" spans="1:11" ht="15.75" thickBot="1" x14ac:dyDescent="0.3">
      <c r="A69" s="138" t="s">
        <v>443</v>
      </c>
      <c r="B69" s="10"/>
      <c r="C69" s="10">
        <v>56576</v>
      </c>
      <c r="D69" s="3"/>
      <c r="E69" s="3"/>
      <c r="F69" s="3"/>
      <c r="G69" s="3"/>
      <c r="H69" s="3"/>
      <c r="I69" s="3"/>
      <c r="J69" s="10">
        <f t="shared" si="15"/>
        <v>56576</v>
      </c>
      <c r="K69" s="10">
        <f>+K68+J69</f>
        <v>4360566</v>
      </c>
    </row>
    <row r="70" spans="1:11" x14ac:dyDescent="0.25">
      <c r="A70" s="79" t="s">
        <v>65</v>
      </c>
      <c r="B70" s="80"/>
      <c r="C70" s="80">
        <f>SUM(C66:C69)</f>
        <v>4360566</v>
      </c>
      <c r="D70" s="80"/>
      <c r="E70" s="80"/>
      <c r="F70" s="80"/>
      <c r="G70" s="80"/>
      <c r="H70" s="80"/>
      <c r="I70" s="80"/>
      <c r="J70" s="124">
        <f>SUM(J66:J69)</f>
        <v>622938</v>
      </c>
      <c r="K70" s="80">
        <f>+K69</f>
        <v>4360566</v>
      </c>
    </row>
    <row r="71" spans="1:11" ht="15.75" thickBot="1" x14ac:dyDescent="0.3">
      <c r="A71" s="73" t="s">
        <v>570</v>
      </c>
      <c r="B71" s="3"/>
      <c r="C71" s="10">
        <v>622938</v>
      </c>
      <c r="D71" s="3"/>
      <c r="E71" s="3"/>
      <c r="F71" s="3"/>
      <c r="G71" s="3"/>
      <c r="H71" s="3"/>
      <c r="I71" s="3"/>
      <c r="J71" s="10">
        <f t="shared" si="15"/>
        <v>622938</v>
      </c>
      <c r="K71" s="11">
        <f>+K70+J71</f>
        <v>4983504</v>
      </c>
    </row>
    <row r="72" spans="1:11" x14ac:dyDescent="0.25">
      <c r="A72" s="265" t="s">
        <v>66</v>
      </c>
      <c r="B72" s="80"/>
      <c r="C72" s="80">
        <f t="shared" ref="C72:H72" si="16">SUM(C70:C71)</f>
        <v>4983504</v>
      </c>
      <c r="D72" s="80">
        <f t="shared" si="16"/>
        <v>0</v>
      </c>
      <c r="E72" s="80">
        <f t="shared" si="16"/>
        <v>0</v>
      </c>
      <c r="F72" s="80">
        <f t="shared" si="16"/>
        <v>0</v>
      </c>
      <c r="G72" s="80">
        <f t="shared" si="16"/>
        <v>0</v>
      </c>
      <c r="H72" s="80">
        <f t="shared" si="16"/>
        <v>0</v>
      </c>
      <c r="I72" s="80"/>
      <c r="J72" s="80">
        <f>SUM(J71)</f>
        <v>622938</v>
      </c>
      <c r="K72" s="80">
        <f>+K71</f>
        <v>4983504</v>
      </c>
    </row>
    <row r="73" spans="1:11" x14ac:dyDescent="0.25">
      <c r="A73" s="62" t="s">
        <v>614</v>
      </c>
      <c r="B73" s="8"/>
      <c r="C73" s="8">
        <v>1021272</v>
      </c>
      <c r="D73" s="16"/>
      <c r="E73" s="16"/>
      <c r="F73" s="16"/>
      <c r="G73" s="16"/>
      <c r="H73" s="16"/>
      <c r="I73" s="16"/>
      <c r="J73" s="60">
        <f t="shared" si="15"/>
        <v>1021272</v>
      </c>
      <c r="K73" s="9">
        <f>+K72+J73</f>
        <v>6004776</v>
      </c>
    </row>
    <row r="74" spans="1:11" ht="15.75" thickBot="1" x14ac:dyDescent="0.3">
      <c r="A74" s="73" t="s">
        <v>662</v>
      </c>
      <c r="B74" s="3"/>
      <c r="C74" s="10">
        <v>750597</v>
      </c>
      <c r="D74" s="3"/>
      <c r="E74" s="3"/>
      <c r="F74" s="3"/>
      <c r="G74" s="3"/>
      <c r="H74" s="3"/>
      <c r="I74" s="3"/>
      <c r="J74" s="186">
        <f t="shared" si="15"/>
        <v>750597</v>
      </c>
      <c r="K74" s="11">
        <f t="shared" ref="K74:K85" si="17">+K73+J74</f>
        <v>6755373</v>
      </c>
    </row>
    <row r="75" spans="1:11" x14ac:dyDescent="0.25">
      <c r="A75" s="79" t="s">
        <v>69</v>
      </c>
      <c r="B75" s="80"/>
      <c r="C75" s="80">
        <f>SUM(C72:C74)</f>
        <v>6755373</v>
      </c>
      <c r="D75" s="80"/>
      <c r="E75" s="80"/>
      <c r="F75" s="80"/>
      <c r="G75" s="80"/>
      <c r="H75" s="80"/>
      <c r="I75" s="80"/>
      <c r="J75" s="84">
        <f>SUM(J73:J74)</f>
        <v>1771869</v>
      </c>
      <c r="K75" s="82">
        <f>+K74</f>
        <v>6755373</v>
      </c>
    </row>
    <row r="76" spans="1:11" ht="15.75" thickBot="1" x14ac:dyDescent="0.3">
      <c r="A76" s="73" t="s">
        <v>736</v>
      </c>
      <c r="B76" s="3"/>
      <c r="C76" s="10">
        <v>750597</v>
      </c>
      <c r="D76" s="3"/>
      <c r="E76" s="3"/>
      <c r="F76" s="3"/>
      <c r="G76" s="3"/>
      <c r="H76" s="3"/>
      <c r="I76" s="3"/>
      <c r="J76" s="186">
        <f t="shared" si="15"/>
        <v>750597</v>
      </c>
      <c r="K76" s="11">
        <f t="shared" si="17"/>
        <v>7505970</v>
      </c>
    </row>
    <row r="77" spans="1:11" x14ac:dyDescent="0.25">
      <c r="A77" s="79" t="s">
        <v>70</v>
      </c>
      <c r="B77" s="80"/>
      <c r="C77" s="80">
        <f>SUM(C75:C76)</f>
        <v>7505970</v>
      </c>
      <c r="D77" s="80">
        <f t="shared" ref="D77:I77" si="18">SUM(D75:D76)</f>
        <v>0</v>
      </c>
      <c r="E77" s="80">
        <f t="shared" si="18"/>
        <v>0</v>
      </c>
      <c r="F77" s="80">
        <f t="shared" si="18"/>
        <v>0</v>
      </c>
      <c r="G77" s="80">
        <f t="shared" si="18"/>
        <v>0</v>
      </c>
      <c r="H77" s="80">
        <f t="shared" si="18"/>
        <v>0</v>
      </c>
      <c r="I77" s="80">
        <f t="shared" si="18"/>
        <v>0</v>
      </c>
      <c r="J77" s="84">
        <f>SUM(J76)</f>
        <v>750597</v>
      </c>
      <c r="K77" s="82">
        <f>+K76</f>
        <v>7505970</v>
      </c>
    </row>
    <row r="78" spans="1:11" x14ac:dyDescent="0.25">
      <c r="A78" s="200" t="s">
        <v>791</v>
      </c>
      <c r="B78" s="8"/>
      <c r="C78" s="8">
        <v>409417</v>
      </c>
      <c r="D78" s="8"/>
      <c r="E78" s="8"/>
      <c r="F78" s="8"/>
      <c r="G78" s="8"/>
      <c r="H78" s="8"/>
      <c r="I78" s="8">
        <f>SUM(I76:I77)</f>
        <v>0</v>
      </c>
      <c r="J78" s="60">
        <f t="shared" si="15"/>
        <v>409417</v>
      </c>
      <c r="K78" s="9">
        <f t="shared" si="17"/>
        <v>7915387</v>
      </c>
    </row>
    <row r="79" spans="1:11" x14ac:dyDescent="0.25">
      <c r="A79" s="200" t="s">
        <v>792</v>
      </c>
      <c r="B79" s="8"/>
      <c r="C79" s="8">
        <v>68236</v>
      </c>
      <c r="D79" s="8"/>
      <c r="E79" s="8"/>
      <c r="F79" s="8"/>
      <c r="G79" s="8"/>
      <c r="H79" s="8"/>
      <c r="I79" s="8"/>
      <c r="J79" s="60">
        <f t="shared" si="15"/>
        <v>68236</v>
      </c>
      <c r="K79" s="9">
        <f t="shared" si="17"/>
        <v>7983623</v>
      </c>
    </row>
    <row r="80" spans="1:11" x14ac:dyDescent="0.25">
      <c r="A80" s="200" t="s">
        <v>793</v>
      </c>
      <c r="B80" s="8"/>
      <c r="C80" s="8">
        <v>68236</v>
      </c>
      <c r="D80" s="8"/>
      <c r="E80" s="8"/>
      <c r="F80" s="8"/>
      <c r="G80" s="8"/>
      <c r="H80" s="8"/>
      <c r="I80" s="8">
        <f>SUM(I78:I79)</f>
        <v>0</v>
      </c>
      <c r="J80" s="60">
        <f t="shared" si="15"/>
        <v>68236</v>
      </c>
      <c r="K80" s="9">
        <f t="shared" si="17"/>
        <v>8051859</v>
      </c>
    </row>
    <row r="81" spans="1:11" x14ac:dyDescent="0.25">
      <c r="A81" s="200" t="s">
        <v>794</v>
      </c>
      <c r="B81" s="8"/>
      <c r="C81" s="8">
        <v>68236</v>
      </c>
      <c r="D81" s="8"/>
      <c r="E81" s="8"/>
      <c r="F81" s="8"/>
      <c r="G81" s="8"/>
      <c r="H81" s="8"/>
      <c r="I81" s="8"/>
      <c r="J81" s="60">
        <f t="shared" si="15"/>
        <v>68236</v>
      </c>
      <c r="K81" s="9">
        <f t="shared" si="17"/>
        <v>8120095</v>
      </c>
    </row>
    <row r="82" spans="1:11" x14ac:dyDescent="0.25">
      <c r="A82" s="200" t="s">
        <v>795</v>
      </c>
      <c r="B82" s="8"/>
      <c r="C82" s="8">
        <v>68236</v>
      </c>
      <c r="D82" s="8"/>
      <c r="E82" s="8"/>
      <c r="F82" s="8"/>
      <c r="G82" s="8"/>
      <c r="H82" s="8"/>
      <c r="I82" s="8"/>
      <c r="J82" s="60">
        <f t="shared" si="15"/>
        <v>68236</v>
      </c>
      <c r="K82" s="9">
        <f t="shared" si="17"/>
        <v>8188331</v>
      </c>
    </row>
    <row r="83" spans="1:11" x14ac:dyDescent="0.25">
      <c r="A83" s="200" t="s">
        <v>796</v>
      </c>
      <c r="B83" s="8"/>
      <c r="C83" s="8">
        <v>68236</v>
      </c>
      <c r="D83" s="8"/>
      <c r="E83" s="8"/>
      <c r="F83" s="8"/>
      <c r="G83" s="8"/>
      <c r="H83" s="8"/>
      <c r="I83" s="8"/>
      <c r="J83" s="60">
        <f t="shared" si="15"/>
        <v>68236</v>
      </c>
      <c r="K83" s="9">
        <f t="shared" si="17"/>
        <v>8256567</v>
      </c>
    </row>
    <row r="84" spans="1:11" x14ac:dyDescent="0.25">
      <c r="A84" s="145" t="s">
        <v>829</v>
      </c>
      <c r="B84" s="81"/>
      <c r="C84" s="81">
        <v>750597</v>
      </c>
      <c r="D84" s="81"/>
      <c r="E84" s="81"/>
      <c r="F84" s="81"/>
      <c r="G84" s="81"/>
      <c r="H84" s="81"/>
      <c r="I84" s="81"/>
      <c r="J84" s="60">
        <f t="shared" si="15"/>
        <v>750597</v>
      </c>
      <c r="K84" s="9">
        <f t="shared" si="17"/>
        <v>9007164</v>
      </c>
    </row>
    <row r="85" spans="1:11" x14ac:dyDescent="0.25">
      <c r="A85" s="79"/>
      <c r="B85" s="81"/>
      <c r="C85" s="81"/>
      <c r="D85" s="81"/>
      <c r="E85" s="81"/>
      <c r="F85" s="81"/>
      <c r="G85" s="81"/>
      <c r="H85" s="81"/>
      <c r="I85" s="81"/>
      <c r="J85" s="60">
        <f t="shared" si="15"/>
        <v>0</v>
      </c>
      <c r="K85" s="9">
        <f t="shared" si="17"/>
        <v>9007164</v>
      </c>
    </row>
    <row r="86" spans="1:11" ht="15.75" thickBot="1" x14ac:dyDescent="0.3">
      <c r="A86" s="73"/>
      <c r="B86" s="10"/>
      <c r="C86" s="10"/>
      <c r="D86" s="3"/>
      <c r="E86" s="3"/>
      <c r="F86" s="3"/>
      <c r="G86" s="3"/>
      <c r="H86" s="3"/>
      <c r="I86" s="3"/>
      <c r="J86" s="10"/>
      <c r="K86" s="11"/>
    </row>
    <row r="87" spans="1:11" ht="15.75" thickBot="1" x14ac:dyDescent="0.3">
      <c r="A87" s="36" t="s">
        <v>74</v>
      </c>
      <c r="B87" s="15"/>
      <c r="C87" s="15">
        <f>SUM(C77:C86)</f>
        <v>9007164</v>
      </c>
      <c r="D87" s="15">
        <f t="shared" ref="D87:I87" si="19">SUM(D77:D86)</f>
        <v>0</v>
      </c>
      <c r="E87" s="15">
        <f t="shared" si="19"/>
        <v>0</v>
      </c>
      <c r="F87" s="15">
        <f t="shared" si="19"/>
        <v>0</v>
      </c>
      <c r="G87" s="15">
        <f t="shared" si="19"/>
        <v>0</v>
      </c>
      <c r="H87" s="15">
        <f t="shared" si="19"/>
        <v>0</v>
      </c>
      <c r="I87" s="15">
        <f t="shared" si="19"/>
        <v>0</v>
      </c>
      <c r="J87" s="15"/>
      <c r="K87" s="14">
        <f>K85</f>
        <v>9007164</v>
      </c>
    </row>
    <row r="88" spans="1:11" ht="15.75" thickBot="1" x14ac:dyDescent="0.3">
      <c r="A88" t="s">
        <v>5</v>
      </c>
    </row>
    <row r="89" spans="1:11" ht="15.75" thickBot="1" x14ac:dyDescent="0.3">
      <c r="A89" s="325" t="s">
        <v>67</v>
      </c>
      <c r="B89" s="325"/>
      <c r="C89" s="326">
        <f>+C11-C87</f>
        <v>836</v>
      </c>
      <c r="D89" s="326">
        <f t="shared" ref="D89:I89" si="20">+D11-D72</f>
        <v>0</v>
      </c>
      <c r="E89" s="326">
        <f t="shared" si="20"/>
        <v>0</v>
      </c>
      <c r="F89" s="326">
        <f t="shared" si="20"/>
        <v>0</v>
      </c>
      <c r="G89" s="326">
        <f t="shared" si="20"/>
        <v>0</v>
      </c>
      <c r="H89" s="326">
        <f t="shared" si="20"/>
        <v>0</v>
      </c>
      <c r="I89" s="326">
        <f t="shared" si="20"/>
        <v>0</v>
      </c>
      <c r="J89" s="326"/>
      <c r="K89" s="326">
        <f>+K11-K87</f>
        <v>836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K26"/>
  <sheetViews>
    <sheetView workbookViewId="0">
      <selection activeCell="L4" sqref="L4"/>
    </sheetView>
  </sheetViews>
  <sheetFormatPr baseColWidth="10" defaultColWidth="11.42578125" defaultRowHeight="15" x14ac:dyDescent="0.25"/>
  <cols>
    <col min="2" max="2" width="10.140625" customWidth="1"/>
    <col min="3" max="4" width="11" customWidth="1"/>
    <col min="5" max="5" width="10" customWidth="1"/>
    <col min="6" max="6" width="10.85546875" customWidth="1"/>
    <col min="7" max="7" width="10.7109375" customWidth="1"/>
    <col min="8" max="8" width="10.42578125" customWidth="1"/>
    <col min="9" max="9" width="10.85546875" customWidth="1"/>
    <col min="10" max="10" width="11.140625" customWidth="1"/>
    <col min="11" max="11" width="12.140625" customWidth="1"/>
  </cols>
  <sheetData>
    <row r="1" spans="1:11" x14ac:dyDescent="0.25">
      <c r="A1" t="s">
        <v>9</v>
      </c>
      <c r="E1" t="s">
        <v>12</v>
      </c>
      <c r="I1" t="s">
        <v>14</v>
      </c>
    </row>
    <row r="2" spans="1:11" x14ac:dyDescent="0.25">
      <c r="A2" t="s">
        <v>11</v>
      </c>
    </row>
    <row r="3" spans="1:11" x14ac:dyDescent="0.25">
      <c r="E3" t="s">
        <v>13</v>
      </c>
      <c r="F3" s="13">
        <v>60015</v>
      </c>
      <c r="I3" t="s">
        <v>15</v>
      </c>
    </row>
    <row r="4" spans="1:11" x14ac:dyDescent="0.25">
      <c r="E4" t="s">
        <v>6</v>
      </c>
      <c r="F4" s="13" t="s">
        <v>25</v>
      </c>
    </row>
    <row r="5" spans="1:11" ht="15.75" thickBot="1" x14ac:dyDescent="0.3"/>
    <row r="6" spans="1:11" ht="33" customHeight="1" thickBot="1" x14ac:dyDescent="0.3">
      <c r="A6" s="39" t="s">
        <v>1</v>
      </c>
      <c r="B6" s="41"/>
      <c r="C6" s="42"/>
      <c r="D6" s="41"/>
      <c r="E6" s="41"/>
      <c r="F6" s="41"/>
      <c r="G6" s="41"/>
      <c r="H6" s="41"/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>
        <f>K7+J8</f>
        <v>0</v>
      </c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/>
      <c r="B13" s="35"/>
      <c r="C13" s="35"/>
      <c r="D13" s="35"/>
      <c r="E13" s="35"/>
      <c r="F13" s="35"/>
      <c r="G13" s="35"/>
      <c r="H13" s="35"/>
      <c r="I13" s="35"/>
      <c r="J13" s="35">
        <f>SUM(B13:I13)</f>
        <v>0</v>
      </c>
      <c r="K13" s="12">
        <f>J13</f>
        <v>0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23.25" customHeight="1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topLeftCell="A10" workbookViewId="0">
      <selection activeCell="K26" sqref="A1:K26"/>
    </sheetView>
  </sheetViews>
  <sheetFormatPr baseColWidth="10" defaultColWidth="11.42578125" defaultRowHeight="15" x14ac:dyDescent="0.25"/>
  <cols>
    <col min="1" max="1" width="14.7109375" customWidth="1"/>
    <col min="2" max="2" width="9.85546875" customWidth="1"/>
    <col min="3" max="3" width="12.85546875" customWidth="1"/>
    <col min="4" max="5" width="10.7109375" customWidth="1"/>
    <col min="6" max="6" width="11.7109375" bestFit="1" customWidth="1"/>
    <col min="7" max="8" width="10.5703125" customWidth="1"/>
    <col min="11" max="11" width="12.140625" customWidth="1"/>
    <col min="13" max="13" width="11.855468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60016</v>
      </c>
      <c r="I3" t="s">
        <v>75</v>
      </c>
    </row>
    <row r="4" spans="1:11" x14ac:dyDescent="0.25">
      <c r="E4" t="s">
        <v>6</v>
      </c>
      <c r="F4" s="13" t="s">
        <v>26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>
        <v>3332000</v>
      </c>
      <c r="D7" s="26"/>
      <c r="E7" s="26"/>
      <c r="F7" s="26"/>
      <c r="G7" s="26"/>
      <c r="H7" s="26">
        <v>4800000</v>
      </c>
      <c r="I7" s="26"/>
      <c r="J7" s="28">
        <f>SUM(B7:I7)</f>
        <v>8132000</v>
      </c>
      <c r="K7" s="29">
        <f>J7</f>
        <v>8132000</v>
      </c>
    </row>
    <row r="8" spans="1:11" ht="26.25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/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3332000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4800000</v>
      </c>
      <c r="I11" s="27">
        <f t="shared" si="0"/>
        <v>0</v>
      </c>
      <c r="J11" s="27">
        <f t="shared" si="0"/>
        <v>8132000</v>
      </c>
      <c r="K11" s="23">
        <f>K10+J11</f>
        <v>8132000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249" t="s">
        <v>916</v>
      </c>
      <c r="B13" s="35"/>
      <c r="C13" s="57">
        <v>3331909</v>
      </c>
      <c r="D13" s="35"/>
      <c r="E13" s="35"/>
      <c r="F13" s="35"/>
      <c r="G13" s="35"/>
      <c r="H13" s="35"/>
      <c r="I13" s="35"/>
      <c r="J13" s="35">
        <f>SUM(B13:I13)</f>
        <v>3331909</v>
      </c>
      <c r="K13" s="12">
        <f>J13</f>
        <v>3331909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24.75" customHeight="1" thickBot="1" x14ac:dyDescent="0.3">
      <c r="A25" s="36" t="s">
        <v>0</v>
      </c>
      <c r="B25" s="15">
        <v>0</v>
      </c>
      <c r="C25" s="15">
        <f>SUM(C13:C24)</f>
        <v>3331909</v>
      </c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  <row r="28" spans="1:11" x14ac:dyDescent="0.25">
      <c r="C28" s="327">
        <f>+C11-C25</f>
        <v>91</v>
      </c>
      <c r="D28" s="98"/>
      <c r="E28" s="98"/>
      <c r="F28" s="98"/>
      <c r="G28" s="98"/>
      <c r="H28" s="98"/>
      <c r="I28" s="98"/>
      <c r="J28" s="98"/>
      <c r="K28" s="98"/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88"/>
  <sheetViews>
    <sheetView view="pageLayout" topLeftCell="A172" zoomScaleNormal="100" workbookViewId="0">
      <selection activeCell="I182" sqref="I182"/>
    </sheetView>
  </sheetViews>
  <sheetFormatPr baseColWidth="10" defaultColWidth="11.42578125" defaultRowHeight="15" x14ac:dyDescent="0.25"/>
  <cols>
    <col min="1" max="1" width="13.7109375" customWidth="1"/>
    <col min="2" max="2" width="10.140625" customWidth="1"/>
    <col min="3" max="3" width="12.5703125" customWidth="1"/>
    <col min="4" max="4" width="12.42578125" customWidth="1"/>
    <col min="5" max="5" width="10.85546875" customWidth="1"/>
    <col min="6" max="6" width="10.42578125" customWidth="1"/>
    <col min="7" max="7" width="12.140625" customWidth="1"/>
    <col min="8" max="8" width="11" customWidth="1"/>
    <col min="9" max="10" width="12.85546875" customWidth="1"/>
    <col min="11" max="11" width="14.28515625" customWidth="1"/>
    <col min="12" max="12" width="13.5703125" customWidth="1"/>
    <col min="13" max="13" width="13.42578125" customWidth="1"/>
  </cols>
  <sheetData>
    <row r="1" spans="1:11" x14ac:dyDescent="0.25">
      <c r="A1" t="s">
        <v>9</v>
      </c>
      <c r="E1" t="s">
        <v>50</v>
      </c>
      <c r="I1" t="s">
        <v>14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6002</v>
      </c>
      <c r="I3" t="s">
        <v>75</v>
      </c>
    </row>
    <row r="4" spans="1:11" x14ac:dyDescent="0.25">
      <c r="E4" t="s">
        <v>6</v>
      </c>
      <c r="F4" s="13" t="s">
        <v>27</v>
      </c>
    </row>
    <row r="5" spans="1:11" ht="15.75" thickBot="1" x14ac:dyDescent="0.3"/>
    <row r="6" spans="1:11" ht="29.25" customHeight="1" thickBot="1" x14ac:dyDescent="0.3">
      <c r="A6" s="39" t="s">
        <v>1</v>
      </c>
      <c r="B6" s="45"/>
      <c r="C6" s="45">
        <v>1</v>
      </c>
      <c r="D6" s="45">
        <v>2</v>
      </c>
      <c r="E6" s="45">
        <v>3</v>
      </c>
      <c r="F6" s="45">
        <v>4</v>
      </c>
      <c r="G6" s="45">
        <v>5</v>
      </c>
      <c r="H6" s="45">
        <v>7</v>
      </c>
      <c r="I6" s="45">
        <v>8</v>
      </c>
      <c r="J6" s="51" t="s">
        <v>16</v>
      </c>
      <c r="K6" s="40" t="s">
        <v>17</v>
      </c>
    </row>
    <row r="7" spans="1:11" ht="26.25" x14ac:dyDescent="0.25">
      <c r="A7" s="30" t="s">
        <v>18</v>
      </c>
      <c r="B7" s="24"/>
      <c r="C7" s="102">
        <v>10248000</v>
      </c>
      <c r="D7" s="102">
        <v>1103000</v>
      </c>
      <c r="E7" s="102">
        <v>600000</v>
      </c>
      <c r="F7" s="102">
        <v>700000</v>
      </c>
      <c r="G7" s="102">
        <v>1500000</v>
      </c>
      <c r="H7" s="102">
        <v>200000</v>
      </c>
      <c r="I7" s="102">
        <v>1000000</v>
      </c>
      <c r="J7" s="103">
        <f>SUM(B7:I7)</f>
        <v>15351000</v>
      </c>
      <c r="K7" s="104">
        <f>J7</f>
        <v>15351000</v>
      </c>
    </row>
    <row r="8" spans="1:11" ht="39" x14ac:dyDescent="0.25">
      <c r="A8" s="31" t="s">
        <v>19</v>
      </c>
      <c r="B8" s="20"/>
      <c r="C8" s="111"/>
      <c r="D8" s="112"/>
      <c r="E8" s="111"/>
      <c r="F8" s="111"/>
      <c r="G8" s="111"/>
      <c r="H8" s="111"/>
      <c r="I8" s="111"/>
      <c r="J8" s="112">
        <f>SUM(B8:I8)</f>
        <v>0</v>
      </c>
      <c r="K8" s="107"/>
    </row>
    <row r="9" spans="1:11" x14ac:dyDescent="0.25">
      <c r="A9" s="32" t="s">
        <v>2</v>
      </c>
      <c r="B9" s="6"/>
      <c r="C9" s="113"/>
      <c r="D9" s="113"/>
      <c r="E9" s="113"/>
      <c r="F9" s="113"/>
      <c r="G9" s="113"/>
      <c r="H9" s="113"/>
      <c r="I9" s="113"/>
      <c r="J9" s="113">
        <v>0</v>
      </c>
      <c r="K9" s="107">
        <f>K8+J9</f>
        <v>0</v>
      </c>
    </row>
    <row r="10" spans="1:11" x14ac:dyDescent="0.25">
      <c r="A10" s="32" t="s">
        <v>3</v>
      </c>
      <c r="B10" s="6"/>
      <c r="C10" s="113"/>
      <c r="D10" s="113"/>
      <c r="E10" s="113"/>
      <c r="F10" s="113"/>
      <c r="G10" s="113"/>
      <c r="H10" s="113"/>
      <c r="I10" s="113"/>
      <c r="J10" s="113">
        <v>0</v>
      </c>
      <c r="K10" s="107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106">
        <f t="shared" si="0"/>
        <v>10248000</v>
      </c>
      <c r="D11" s="106">
        <f t="shared" si="0"/>
        <v>1103000</v>
      </c>
      <c r="E11" s="106">
        <f t="shared" si="0"/>
        <v>600000</v>
      </c>
      <c r="F11" s="106">
        <f t="shared" si="0"/>
        <v>700000</v>
      </c>
      <c r="G11" s="106">
        <f t="shared" si="0"/>
        <v>1500000</v>
      </c>
      <c r="H11" s="106">
        <f t="shared" si="0"/>
        <v>200000</v>
      </c>
      <c r="I11" s="106">
        <f t="shared" si="0"/>
        <v>1000000</v>
      </c>
      <c r="J11" s="106">
        <f t="shared" si="0"/>
        <v>15351000</v>
      </c>
      <c r="K11" s="107">
        <f>K10+J11</f>
        <v>15351000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90" t="s">
        <v>80</v>
      </c>
      <c r="B13" s="59"/>
      <c r="C13" s="421">
        <v>459266</v>
      </c>
      <c r="D13" s="59"/>
      <c r="E13" s="59"/>
      <c r="F13" s="59"/>
      <c r="G13" s="59"/>
      <c r="H13" s="59"/>
      <c r="I13" s="59"/>
      <c r="J13" s="59">
        <f>SUM(C13:I13)</f>
        <v>459266</v>
      </c>
      <c r="K13" s="115">
        <f>+J13</f>
        <v>459266</v>
      </c>
    </row>
    <row r="14" spans="1:11" x14ac:dyDescent="0.25">
      <c r="A14" s="158" t="s">
        <v>144</v>
      </c>
      <c r="B14" s="8"/>
      <c r="C14" s="418">
        <v>218233</v>
      </c>
      <c r="D14" s="16"/>
      <c r="E14" s="16"/>
      <c r="F14" s="16"/>
      <c r="G14" s="16"/>
      <c r="H14" s="16"/>
      <c r="I14" s="16"/>
      <c r="J14" s="8">
        <f t="shared" ref="J14:J23" si="1">SUM(C14:I14)</f>
        <v>218233</v>
      </c>
      <c r="K14" s="9">
        <f>+K13+J14</f>
        <v>677499</v>
      </c>
    </row>
    <row r="15" spans="1:11" x14ac:dyDescent="0.25">
      <c r="A15" s="85" t="s">
        <v>145</v>
      </c>
      <c r="B15" s="8"/>
      <c r="C15" s="418">
        <v>7069</v>
      </c>
      <c r="D15" s="16"/>
      <c r="E15" s="16"/>
      <c r="F15" s="16"/>
      <c r="G15" s="16"/>
      <c r="H15" s="16"/>
      <c r="I15" s="16"/>
      <c r="J15" s="81">
        <f t="shared" si="1"/>
        <v>7069</v>
      </c>
      <c r="K15" s="9">
        <f>+K14+J15</f>
        <v>684568</v>
      </c>
    </row>
    <row r="16" spans="1:11" x14ac:dyDescent="0.25">
      <c r="A16" s="158" t="s">
        <v>146</v>
      </c>
      <c r="B16" s="78"/>
      <c r="C16" s="422">
        <v>29710</v>
      </c>
      <c r="D16" s="124"/>
      <c r="E16" s="124"/>
      <c r="F16" s="124"/>
      <c r="G16" s="124"/>
      <c r="H16" s="124"/>
      <c r="I16" s="124"/>
      <c r="J16" s="64">
        <f t="shared" si="1"/>
        <v>29710</v>
      </c>
      <c r="K16" s="65">
        <f t="shared" ref="K16:K23" si="2">K15+J16</f>
        <v>714278</v>
      </c>
    </row>
    <row r="17" spans="1:11" x14ac:dyDescent="0.25">
      <c r="A17" s="158" t="s">
        <v>147</v>
      </c>
      <c r="B17" s="8"/>
      <c r="C17" s="234"/>
      <c r="D17" s="418">
        <v>64890</v>
      </c>
      <c r="E17" s="16"/>
      <c r="F17" s="16"/>
      <c r="G17" s="16"/>
      <c r="H17" s="16"/>
      <c r="I17" s="16"/>
      <c r="J17" s="8">
        <f t="shared" si="1"/>
        <v>64890</v>
      </c>
      <c r="K17" s="9">
        <f t="shared" si="2"/>
        <v>779168</v>
      </c>
    </row>
    <row r="18" spans="1:11" x14ac:dyDescent="0.25">
      <c r="A18" s="158" t="s">
        <v>148</v>
      </c>
      <c r="B18" s="8"/>
      <c r="C18" s="418">
        <v>459266</v>
      </c>
      <c r="D18" s="8"/>
      <c r="E18" s="16"/>
      <c r="F18" s="16"/>
      <c r="G18" s="16"/>
      <c r="H18" s="16"/>
      <c r="I18" s="16"/>
      <c r="J18" s="8">
        <f t="shared" si="1"/>
        <v>459266</v>
      </c>
      <c r="K18" s="9">
        <f t="shared" si="2"/>
        <v>1238434</v>
      </c>
    </row>
    <row r="19" spans="1:11" x14ac:dyDescent="0.25">
      <c r="A19" s="158" t="s">
        <v>152</v>
      </c>
      <c r="B19" s="8"/>
      <c r="C19" s="418">
        <v>90708</v>
      </c>
      <c r="D19" s="8"/>
      <c r="E19" s="16"/>
      <c r="F19" s="16"/>
      <c r="G19" s="16"/>
      <c r="H19" s="16"/>
      <c r="I19" s="16"/>
      <c r="J19" s="8">
        <f t="shared" si="1"/>
        <v>90708</v>
      </c>
      <c r="K19" s="9">
        <f t="shared" si="2"/>
        <v>1329142</v>
      </c>
    </row>
    <row r="20" spans="1:11" x14ac:dyDescent="0.25">
      <c r="A20" s="405" t="s">
        <v>153</v>
      </c>
      <c r="B20" s="78"/>
      <c r="C20" s="422">
        <v>127525</v>
      </c>
      <c r="D20" s="78"/>
      <c r="E20" s="124"/>
      <c r="F20" s="124"/>
      <c r="G20" s="124"/>
      <c r="H20" s="124"/>
      <c r="I20" s="124"/>
      <c r="J20" s="78">
        <f t="shared" si="1"/>
        <v>127525</v>
      </c>
      <c r="K20" s="127">
        <f t="shared" si="2"/>
        <v>1456667</v>
      </c>
    </row>
    <row r="21" spans="1:11" ht="14.25" customHeight="1" x14ac:dyDescent="0.25">
      <c r="A21" s="335" t="s">
        <v>154</v>
      </c>
      <c r="B21" s="64"/>
      <c r="C21" s="417">
        <v>7069</v>
      </c>
      <c r="D21" s="64"/>
      <c r="E21" s="70"/>
      <c r="F21" s="70"/>
      <c r="G21" s="70"/>
      <c r="H21" s="70"/>
      <c r="I21" s="70"/>
      <c r="J21" s="64">
        <f t="shared" si="1"/>
        <v>7069</v>
      </c>
      <c r="K21" s="127">
        <f t="shared" si="2"/>
        <v>1463736</v>
      </c>
    </row>
    <row r="22" spans="1:11" x14ac:dyDescent="0.25">
      <c r="A22" s="158" t="s">
        <v>156</v>
      </c>
      <c r="B22" s="8"/>
      <c r="C22" s="418">
        <v>29710</v>
      </c>
      <c r="D22" s="8"/>
      <c r="E22" s="16"/>
      <c r="F22" s="16"/>
      <c r="G22" s="16"/>
      <c r="H22" s="16"/>
      <c r="I22" s="16"/>
      <c r="J22" s="8">
        <f t="shared" si="1"/>
        <v>29710</v>
      </c>
      <c r="K22" s="127">
        <f t="shared" si="2"/>
        <v>1493446</v>
      </c>
    </row>
    <row r="23" spans="1:11" ht="15" customHeight="1" thickBot="1" x14ac:dyDescent="0.3">
      <c r="A23" s="158" t="s">
        <v>159</v>
      </c>
      <c r="B23" s="8"/>
      <c r="C23" s="163"/>
      <c r="D23" s="418">
        <v>64890</v>
      </c>
      <c r="E23" s="16"/>
      <c r="F23" s="16"/>
      <c r="G23" s="16"/>
      <c r="H23" s="16"/>
      <c r="I23" s="16"/>
      <c r="J23" s="8">
        <f t="shared" si="1"/>
        <v>64890</v>
      </c>
      <c r="K23" s="127">
        <f t="shared" si="2"/>
        <v>1558336</v>
      </c>
    </row>
    <row r="24" spans="1:11" ht="19.5" customHeight="1" thickBot="1" x14ac:dyDescent="0.3">
      <c r="A24" s="164" t="s">
        <v>0</v>
      </c>
      <c r="B24" s="83" t="s">
        <v>51</v>
      </c>
      <c r="C24" s="83">
        <f t="shared" ref="C24:J24" si="3">SUM(C13:C23)</f>
        <v>1428556</v>
      </c>
      <c r="D24" s="83">
        <f t="shared" si="3"/>
        <v>129780</v>
      </c>
      <c r="E24" s="83">
        <f t="shared" si="3"/>
        <v>0</v>
      </c>
      <c r="F24" s="83">
        <f t="shared" si="3"/>
        <v>0</v>
      </c>
      <c r="G24" s="83">
        <f t="shared" si="3"/>
        <v>0</v>
      </c>
      <c r="H24" s="83">
        <f t="shared" si="3"/>
        <v>0</v>
      </c>
      <c r="I24" s="83">
        <f t="shared" si="3"/>
        <v>0</v>
      </c>
      <c r="J24" s="83">
        <f t="shared" si="3"/>
        <v>1558336</v>
      </c>
      <c r="K24" s="83">
        <f>K23</f>
        <v>1558336</v>
      </c>
    </row>
    <row r="25" spans="1:11" ht="15.75" customHeight="1" x14ac:dyDescent="0.25">
      <c r="A25" t="s">
        <v>5</v>
      </c>
    </row>
    <row r="29" spans="1:11" x14ac:dyDescent="0.25">
      <c r="A29" t="s">
        <v>9</v>
      </c>
      <c r="E29" t="s">
        <v>50</v>
      </c>
      <c r="I29" t="s">
        <v>45</v>
      </c>
    </row>
    <row r="30" spans="1:11" x14ac:dyDescent="0.25">
      <c r="A30" t="s">
        <v>44</v>
      </c>
    </row>
    <row r="31" spans="1:11" x14ac:dyDescent="0.25">
      <c r="E31" t="s">
        <v>13</v>
      </c>
      <c r="F31" s="13">
        <v>6002</v>
      </c>
      <c r="I31" t="s">
        <v>75</v>
      </c>
    </row>
    <row r="32" spans="1:11" ht="15.75" thickBot="1" x14ac:dyDescent="0.3">
      <c r="E32" t="s">
        <v>6</v>
      </c>
      <c r="F32" s="13" t="s">
        <v>27</v>
      </c>
    </row>
    <row r="33" spans="1:11" ht="30.75" thickBot="1" x14ac:dyDescent="0.3">
      <c r="A33" s="75" t="s">
        <v>42</v>
      </c>
      <c r="B33" s="4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7</v>
      </c>
      <c r="I33" s="45">
        <v>8</v>
      </c>
      <c r="J33" s="51" t="s">
        <v>16</v>
      </c>
      <c r="K33" s="40" t="s">
        <v>17</v>
      </c>
    </row>
    <row r="34" spans="1:11" x14ac:dyDescent="0.25">
      <c r="A34" s="76" t="s">
        <v>43</v>
      </c>
      <c r="B34" s="57"/>
      <c r="C34" s="35">
        <f t="shared" ref="C34:K34" si="4">+C24</f>
        <v>1428556</v>
      </c>
      <c r="D34" s="35">
        <f t="shared" si="4"/>
        <v>129780</v>
      </c>
      <c r="E34" s="35">
        <f t="shared" si="4"/>
        <v>0</v>
      </c>
      <c r="F34" s="35">
        <f t="shared" si="4"/>
        <v>0</v>
      </c>
      <c r="G34" s="35">
        <f t="shared" si="4"/>
        <v>0</v>
      </c>
      <c r="H34" s="35">
        <f t="shared" si="4"/>
        <v>0</v>
      </c>
      <c r="I34" s="35">
        <f t="shared" si="4"/>
        <v>0</v>
      </c>
      <c r="J34" s="35">
        <f t="shared" si="4"/>
        <v>1558336</v>
      </c>
      <c r="K34" s="35">
        <f t="shared" si="4"/>
        <v>1558336</v>
      </c>
    </row>
    <row r="35" spans="1:11" x14ac:dyDescent="0.25">
      <c r="A35" s="62" t="s">
        <v>172</v>
      </c>
      <c r="B35" s="8"/>
      <c r="C35" s="8">
        <v>90708</v>
      </c>
      <c r="D35" s="16"/>
      <c r="E35" s="16"/>
      <c r="F35" s="16"/>
      <c r="G35" s="16"/>
      <c r="H35" s="16"/>
      <c r="I35" s="16"/>
      <c r="J35" s="364">
        <f>SUM(C35:I35)</f>
        <v>90708</v>
      </c>
      <c r="K35" s="9">
        <f>+K34+J35</f>
        <v>1649044</v>
      </c>
    </row>
    <row r="36" spans="1:11" x14ac:dyDescent="0.25">
      <c r="A36" s="62" t="s">
        <v>173</v>
      </c>
      <c r="B36" s="8"/>
      <c r="C36" s="8">
        <v>96434</v>
      </c>
      <c r="D36" s="16"/>
      <c r="E36" s="16"/>
      <c r="F36" s="16"/>
      <c r="G36" s="16"/>
      <c r="H36" s="16"/>
      <c r="I36" s="16"/>
      <c r="J36" s="364">
        <f>SUM(C36:I36)</f>
        <v>96434</v>
      </c>
      <c r="K36" s="9">
        <f t="shared" ref="K36:K43" si="5">+K35+J36</f>
        <v>1745478</v>
      </c>
    </row>
    <row r="37" spans="1:11" x14ac:dyDescent="0.25">
      <c r="A37" s="62" t="s">
        <v>174</v>
      </c>
      <c r="B37" s="8"/>
      <c r="C37" s="8">
        <v>90708</v>
      </c>
      <c r="D37" s="16"/>
      <c r="E37" s="16"/>
      <c r="F37" s="16"/>
      <c r="G37" s="16"/>
      <c r="H37" s="16"/>
      <c r="I37" s="16"/>
      <c r="J37" s="364">
        <f t="shared" ref="J37:J43" si="6">SUM(C37:I37)</f>
        <v>90708</v>
      </c>
      <c r="K37" s="9">
        <f t="shared" si="5"/>
        <v>1836186</v>
      </c>
    </row>
    <row r="38" spans="1:11" x14ac:dyDescent="0.25">
      <c r="A38" s="62" t="s">
        <v>175</v>
      </c>
      <c r="B38" s="8"/>
      <c r="C38" s="8">
        <v>90708</v>
      </c>
      <c r="D38" s="8"/>
      <c r="E38" s="16"/>
      <c r="F38" s="16"/>
      <c r="G38" s="16"/>
      <c r="H38" s="16"/>
      <c r="I38" s="16"/>
      <c r="J38" s="364">
        <f t="shared" si="6"/>
        <v>90708</v>
      </c>
      <c r="K38" s="9">
        <f t="shared" si="5"/>
        <v>1926894</v>
      </c>
    </row>
    <row r="39" spans="1:11" x14ac:dyDescent="0.25">
      <c r="A39" s="62" t="s">
        <v>176</v>
      </c>
      <c r="B39" s="8"/>
      <c r="C39" s="8">
        <v>90708</v>
      </c>
      <c r="D39" s="16"/>
      <c r="E39" s="16"/>
      <c r="F39" s="8"/>
      <c r="G39" s="163"/>
      <c r="H39" s="16"/>
      <c r="I39" s="16"/>
      <c r="J39" s="364">
        <f t="shared" si="6"/>
        <v>90708</v>
      </c>
      <c r="K39" s="9">
        <f t="shared" si="5"/>
        <v>2017602</v>
      </c>
    </row>
    <row r="40" spans="1:11" x14ac:dyDescent="0.25">
      <c r="A40" s="62" t="s">
        <v>177</v>
      </c>
      <c r="B40" s="8"/>
      <c r="C40" s="8">
        <v>90708</v>
      </c>
      <c r="D40" s="16"/>
      <c r="E40" s="16"/>
      <c r="F40" s="8"/>
      <c r="G40" s="163"/>
      <c r="H40" s="16"/>
      <c r="I40" s="16"/>
      <c r="J40" s="364">
        <f t="shared" si="6"/>
        <v>90708</v>
      </c>
      <c r="K40" s="9">
        <f t="shared" si="5"/>
        <v>2108310</v>
      </c>
    </row>
    <row r="41" spans="1:11" x14ac:dyDescent="0.25">
      <c r="A41" s="63" t="s">
        <v>178</v>
      </c>
      <c r="B41" s="64"/>
      <c r="C41" s="64">
        <v>107525</v>
      </c>
      <c r="D41" s="64"/>
      <c r="E41" s="162"/>
      <c r="F41" s="64"/>
      <c r="G41" s="64"/>
      <c r="H41" s="64"/>
      <c r="I41" s="64"/>
      <c r="J41" s="365">
        <f t="shared" si="6"/>
        <v>107525</v>
      </c>
      <c r="K41" s="9">
        <f t="shared" si="5"/>
        <v>2215835</v>
      </c>
    </row>
    <row r="42" spans="1:11" x14ac:dyDescent="0.25">
      <c r="A42" s="200" t="s">
        <v>213</v>
      </c>
      <c r="B42" s="8"/>
      <c r="C42" s="8">
        <v>8186</v>
      </c>
      <c r="D42" s="16"/>
      <c r="E42" s="16"/>
      <c r="F42" s="163"/>
      <c r="G42" s="8"/>
      <c r="H42" s="16"/>
      <c r="I42" s="16"/>
      <c r="J42" s="364">
        <f t="shared" si="6"/>
        <v>8186</v>
      </c>
      <c r="K42" s="9">
        <f t="shared" si="5"/>
        <v>2224021</v>
      </c>
    </row>
    <row r="43" spans="1:11" x14ac:dyDescent="0.25">
      <c r="A43" s="256" t="s">
        <v>219</v>
      </c>
      <c r="B43" s="258"/>
      <c r="C43" s="258">
        <v>34405</v>
      </c>
      <c r="D43" s="258"/>
      <c r="E43" s="258"/>
      <c r="F43" s="258"/>
      <c r="G43" s="258"/>
      <c r="H43" s="258"/>
      <c r="I43" s="258"/>
      <c r="J43" s="457">
        <f t="shared" si="6"/>
        <v>34405</v>
      </c>
      <c r="K43" s="9">
        <f t="shared" si="5"/>
        <v>2258426</v>
      </c>
    </row>
    <row r="44" spans="1:11" ht="15.75" thickBot="1" x14ac:dyDescent="0.3">
      <c r="A44" s="213" t="s">
        <v>225</v>
      </c>
      <c r="B44" s="247"/>
      <c r="C44" s="214"/>
      <c r="D44" s="214">
        <v>75705</v>
      </c>
      <c r="E44" s="248"/>
      <c r="F44" s="214"/>
      <c r="G44" s="214"/>
      <c r="H44" s="248"/>
      <c r="I44" s="248"/>
      <c r="J44" s="458">
        <f>SUM(C44:I44)</f>
        <v>75705</v>
      </c>
      <c r="K44" s="295">
        <f>+K43+J44</f>
        <v>2334131</v>
      </c>
    </row>
    <row r="45" spans="1:11" x14ac:dyDescent="0.25">
      <c r="A45" s="229" t="s">
        <v>370</v>
      </c>
      <c r="B45" s="244"/>
      <c r="C45" s="231">
        <f>SUM(C34:C44)</f>
        <v>2128646</v>
      </c>
      <c r="D45" s="231">
        <f t="shared" ref="D45:I45" si="7">SUM(D34:D44)</f>
        <v>205485</v>
      </c>
      <c r="E45" s="231">
        <f t="shared" si="7"/>
        <v>0</v>
      </c>
      <c r="F45" s="231">
        <f t="shared" si="7"/>
        <v>0</v>
      </c>
      <c r="G45" s="231">
        <f t="shared" si="7"/>
        <v>0</v>
      </c>
      <c r="H45" s="231">
        <f t="shared" si="7"/>
        <v>0</v>
      </c>
      <c r="I45" s="231">
        <f t="shared" si="7"/>
        <v>0</v>
      </c>
      <c r="J45" s="231">
        <f>SUM(J35:J44)</f>
        <v>775795</v>
      </c>
      <c r="K45" s="232">
        <f>+K44</f>
        <v>2334131</v>
      </c>
    </row>
    <row r="46" spans="1:11" x14ac:dyDescent="0.25">
      <c r="A46" s="227" t="s">
        <v>242</v>
      </c>
      <c r="B46" s="235"/>
      <c r="C46" s="203">
        <v>90708</v>
      </c>
      <c r="D46" s="203"/>
      <c r="E46" s="203"/>
      <c r="F46" s="203"/>
      <c r="G46" s="203"/>
      <c r="H46" s="203"/>
      <c r="I46" s="203"/>
      <c r="J46" s="203">
        <f t="shared" ref="J46:J54" si="8">SUM(C46:I46)</f>
        <v>90708</v>
      </c>
      <c r="K46" s="455">
        <f>K45+J46</f>
        <v>2424839</v>
      </c>
    </row>
    <row r="47" spans="1:11" x14ac:dyDescent="0.25">
      <c r="A47" s="336" t="s">
        <v>243</v>
      </c>
      <c r="B47" s="366"/>
      <c r="C47" s="338">
        <v>96434</v>
      </c>
      <c r="D47" s="338"/>
      <c r="E47" s="338"/>
      <c r="F47" s="338"/>
      <c r="G47" s="338"/>
      <c r="H47" s="338"/>
      <c r="I47" s="338"/>
      <c r="J47" s="203">
        <f t="shared" si="8"/>
        <v>96434</v>
      </c>
      <c r="K47" s="455">
        <f t="shared" ref="K47:K55" si="9">K46+J47</f>
        <v>2521273</v>
      </c>
    </row>
    <row r="48" spans="1:11" x14ac:dyDescent="0.25">
      <c r="A48" s="456" t="s">
        <v>244</v>
      </c>
      <c r="B48" s="235"/>
      <c r="C48" s="203">
        <v>90708</v>
      </c>
      <c r="D48" s="203"/>
      <c r="E48" s="203"/>
      <c r="F48" s="203"/>
      <c r="G48" s="203"/>
      <c r="H48" s="203"/>
      <c r="I48" s="203"/>
      <c r="J48" s="203">
        <f t="shared" si="8"/>
        <v>90708</v>
      </c>
      <c r="K48" s="455">
        <f t="shared" si="9"/>
        <v>2611981</v>
      </c>
    </row>
    <row r="49" spans="1:11" x14ac:dyDescent="0.25">
      <c r="A49" s="227" t="s">
        <v>245</v>
      </c>
      <c r="B49" s="235"/>
      <c r="C49" s="203">
        <v>90708</v>
      </c>
      <c r="D49" s="203"/>
      <c r="E49" s="203"/>
      <c r="F49" s="203"/>
      <c r="G49" s="203"/>
      <c r="H49" s="203"/>
      <c r="I49" s="203"/>
      <c r="J49" s="203">
        <f t="shared" si="8"/>
        <v>90708</v>
      </c>
      <c r="K49" s="455">
        <f t="shared" si="9"/>
        <v>2702689</v>
      </c>
    </row>
    <row r="50" spans="1:11" x14ac:dyDescent="0.25">
      <c r="A50" s="227" t="s">
        <v>246</v>
      </c>
      <c r="B50" s="235"/>
      <c r="C50" s="203">
        <v>90708</v>
      </c>
      <c r="D50" s="203"/>
      <c r="E50" s="203"/>
      <c r="F50" s="203"/>
      <c r="G50" s="203"/>
      <c r="H50" s="203"/>
      <c r="I50" s="203"/>
      <c r="J50" s="203">
        <f t="shared" si="8"/>
        <v>90708</v>
      </c>
      <c r="K50" s="455">
        <f t="shared" si="9"/>
        <v>2793397</v>
      </c>
    </row>
    <row r="51" spans="1:11" x14ac:dyDescent="0.25">
      <c r="A51" s="227" t="s">
        <v>247</v>
      </c>
      <c r="B51" s="235"/>
      <c r="C51" s="203">
        <v>90708</v>
      </c>
      <c r="D51" s="203"/>
      <c r="E51" s="203"/>
      <c r="F51" s="203"/>
      <c r="G51" s="203"/>
      <c r="H51" s="203"/>
      <c r="I51" s="203"/>
      <c r="J51" s="203">
        <f t="shared" si="8"/>
        <v>90708</v>
      </c>
      <c r="K51" s="455">
        <f t="shared" si="9"/>
        <v>2884105</v>
      </c>
    </row>
    <row r="52" spans="1:11" x14ac:dyDescent="0.25">
      <c r="A52" s="62" t="s">
        <v>248</v>
      </c>
      <c r="B52" s="178"/>
      <c r="C52" s="8">
        <v>107525</v>
      </c>
      <c r="D52" s="8"/>
      <c r="E52" s="8"/>
      <c r="F52" s="8"/>
      <c r="G52" s="8"/>
      <c r="H52" s="8"/>
      <c r="I52" s="8"/>
      <c r="J52" s="203">
        <f t="shared" si="8"/>
        <v>107525</v>
      </c>
      <c r="K52" s="455">
        <f t="shared" si="9"/>
        <v>2991630</v>
      </c>
    </row>
    <row r="53" spans="1:11" x14ac:dyDescent="0.25">
      <c r="A53" s="69" t="s">
        <v>283</v>
      </c>
      <c r="B53" s="179"/>
      <c r="C53" s="64">
        <v>8186</v>
      </c>
      <c r="D53" s="64"/>
      <c r="E53" s="64"/>
      <c r="F53" s="64"/>
      <c r="G53" s="64"/>
      <c r="H53" s="64"/>
      <c r="I53" s="64"/>
      <c r="J53" s="203">
        <f t="shared" si="8"/>
        <v>8186</v>
      </c>
      <c r="K53" s="455">
        <f t="shared" si="9"/>
        <v>2999816</v>
      </c>
    </row>
    <row r="54" spans="1:11" x14ac:dyDescent="0.25">
      <c r="A54" s="200" t="s">
        <v>289</v>
      </c>
      <c r="B54" s="178"/>
      <c r="C54" s="8">
        <v>34405</v>
      </c>
      <c r="D54" s="8"/>
      <c r="E54" s="8"/>
      <c r="F54" s="8"/>
      <c r="G54" s="8"/>
      <c r="H54" s="8"/>
      <c r="I54" s="8"/>
      <c r="J54" s="203">
        <f t="shared" si="8"/>
        <v>34405</v>
      </c>
      <c r="K54" s="455">
        <f t="shared" si="9"/>
        <v>3034221</v>
      </c>
    </row>
    <row r="55" spans="1:11" ht="15.75" thickBot="1" x14ac:dyDescent="0.3">
      <c r="A55" s="292" t="s">
        <v>295</v>
      </c>
      <c r="B55" s="182"/>
      <c r="C55" s="10"/>
      <c r="D55" s="10">
        <v>75705</v>
      </c>
      <c r="E55" s="10"/>
      <c r="F55" s="10"/>
      <c r="G55" s="10"/>
      <c r="H55" s="10"/>
      <c r="I55" s="10"/>
      <c r="J55" s="10">
        <f>SUM(C55:I55)</f>
        <v>75705</v>
      </c>
      <c r="K55" s="455">
        <f t="shared" si="9"/>
        <v>3109926</v>
      </c>
    </row>
    <row r="56" spans="1:11" x14ac:dyDescent="0.25">
      <c r="A56" s="265" t="s">
        <v>59</v>
      </c>
      <c r="B56" s="181"/>
      <c r="C56" s="80">
        <f>SUM(C45:C55)</f>
        <v>2828736</v>
      </c>
      <c r="D56" s="80">
        <f t="shared" ref="D56:I56" si="10">SUM(D45:D55)</f>
        <v>281190</v>
      </c>
      <c r="E56" s="80">
        <f t="shared" si="10"/>
        <v>0</v>
      </c>
      <c r="F56" s="80">
        <f t="shared" si="10"/>
        <v>0</v>
      </c>
      <c r="G56" s="80">
        <f t="shared" si="10"/>
        <v>0</v>
      </c>
      <c r="H56" s="80">
        <f t="shared" si="10"/>
        <v>0</v>
      </c>
      <c r="I56" s="80">
        <f t="shared" si="10"/>
        <v>0</v>
      </c>
      <c r="J56" s="80">
        <f>SUM(C56:I56)</f>
        <v>3109926</v>
      </c>
      <c r="K56" s="82">
        <f>+K55</f>
        <v>3109926</v>
      </c>
    </row>
    <row r="57" spans="1:11" x14ac:dyDescent="0.25">
      <c r="A57" s="61" t="s">
        <v>313</v>
      </c>
      <c r="B57" s="178"/>
      <c r="C57" s="8">
        <v>90708</v>
      </c>
      <c r="D57" s="8"/>
      <c r="E57" s="16"/>
      <c r="F57" s="8"/>
      <c r="G57" s="8"/>
      <c r="H57" s="8"/>
      <c r="I57" s="8"/>
      <c r="J57" s="8">
        <f>SUM(C57:I57)</f>
        <v>90708</v>
      </c>
      <c r="K57" s="9">
        <f>K56+J57</f>
        <v>3200634</v>
      </c>
    </row>
    <row r="58" spans="1:11" ht="15.75" thickBot="1" x14ac:dyDescent="0.3">
      <c r="A58" s="73" t="s">
        <v>314</v>
      </c>
      <c r="B58" s="182"/>
      <c r="C58" s="10">
        <v>96434</v>
      </c>
      <c r="D58" s="10"/>
      <c r="E58" s="3"/>
      <c r="F58" s="3"/>
      <c r="G58" s="3"/>
      <c r="H58" s="3"/>
      <c r="I58" s="3"/>
      <c r="J58" s="10">
        <f>SUM(C58:I58)</f>
        <v>96434</v>
      </c>
      <c r="K58" s="9">
        <f>K57+J58</f>
        <v>3297068</v>
      </c>
    </row>
    <row r="59" spans="1:11" ht="15.75" thickBot="1" x14ac:dyDescent="0.3">
      <c r="A59" s="164"/>
      <c r="B59" s="15"/>
      <c r="C59" s="15">
        <f>SUM(C56:C58)</f>
        <v>3015878</v>
      </c>
      <c r="D59" s="15">
        <f>SUM(D56:D58)</f>
        <v>281190</v>
      </c>
      <c r="E59" s="15">
        <f>SUM(E54:E58)</f>
        <v>0</v>
      </c>
      <c r="F59" s="15">
        <f>SUM(F54:F58)</f>
        <v>0</v>
      </c>
      <c r="G59" s="15">
        <f>SUM(G54:G58)</f>
        <v>0</v>
      </c>
      <c r="H59" s="15">
        <f>SUM(H54:H58)</f>
        <v>0</v>
      </c>
      <c r="I59" s="15">
        <f>SUM(I54:I58)</f>
        <v>0</v>
      </c>
      <c r="J59" s="15">
        <f>SUM(J57:J58)</f>
        <v>187142</v>
      </c>
      <c r="K59" s="14">
        <f>+K58</f>
        <v>3297068</v>
      </c>
    </row>
    <row r="60" spans="1:11" x14ac:dyDescent="0.25">
      <c r="A60" t="s">
        <v>5</v>
      </c>
    </row>
    <row r="61" spans="1:11" x14ac:dyDescent="0.25">
      <c r="A61" t="s">
        <v>9</v>
      </c>
      <c r="E61" t="s">
        <v>50</v>
      </c>
      <c r="I61" t="s">
        <v>45</v>
      </c>
    </row>
    <row r="62" spans="1:11" x14ac:dyDescent="0.25">
      <c r="A62" t="s">
        <v>44</v>
      </c>
    </row>
    <row r="63" spans="1:11" x14ac:dyDescent="0.25">
      <c r="E63" t="s">
        <v>13</v>
      </c>
      <c r="F63" s="13">
        <v>6002</v>
      </c>
      <c r="I63" t="s">
        <v>75</v>
      </c>
    </row>
    <row r="64" spans="1:11" ht="15.75" thickBot="1" x14ac:dyDescent="0.3">
      <c r="E64" t="s">
        <v>6</v>
      </c>
      <c r="F64" s="13" t="s">
        <v>27</v>
      </c>
    </row>
    <row r="65" spans="1:11" ht="30.75" thickBot="1" x14ac:dyDescent="0.3">
      <c r="A65" s="75" t="s">
        <v>42</v>
      </c>
      <c r="B65" s="4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>
        <v>7</v>
      </c>
      <c r="I65" s="45">
        <v>8</v>
      </c>
      <c r="J65" s="51" t="s">
        <v>16</v>
      </c>
      <c r="K65" s="40" t="s">
        <v>17</v>
      </c>
    </row>
    <row r="66" spans="1:11" x14ac:dyDescent="0.25">
      <c r="A66" s="76" t="s">
        <v>43</v>
      </c>
      <c r="B66" s="57"/>
      <c r="C66" s="35">
        <f t="shared" ref="C66:K66" si="11">+C59</f>
        <v>3015878</v>
      </c>
      <c r="D66" s="35">
        <f t="shared" si="11"/>
        <v>281190</v>
      </c>
      <c r="E66" s="35">
        <f t="shared" si="11"/>
        <v>0</v>
      </c>
      <c r="F66" s="35">
        <f t="shared" si="11"/>
        <v>0</v>
      </c>
      <c r="G66" s="35">
        <f t="shared" si="11"/>
        <v>0</v>
      </c>
      <c r="H66" s="35">
        <f t="shared" si="11"/>
        <v>0</v>
      </c>
      <c r="I66" s="35">
        <f t="shared" si="11"/>
        <v>0</v>
      </c>
      <c r="J66" s="35">
        <f t="shared" si="11"/>
        <v>187142</v>
      </c>
      <c r="K66" s="35">
        <f t="shared" si="11"/>
        <v>3297068</v>
      </c>
    </row>
    <row r="67" spans="1:11" x14ac:dyDescent="0.25">
      <c r="A67" s="62" t="s">
        <v>315</v>
      </c>
      <c r="B67" s="8"/>
      <c r="C67" s="8">
        <v>90708</v>
      </c>
      <c r="D67" s="16"/>
      <c r="E67" s="16"/>
      <c r="F67" s="8"/>
      <c r="G67" s="16"/>
      <c r="H67" s="16"/>
      <c r="I67" s="16"/>
      <c r="J67" s="364">
        <f>SUM(C67:I67)</f>
        <v>90708</v>
      </c>
      <c r="K67" s="9">
        <f>K66+J67</f>
        <v>3387776</v>
      </c>
    </row>
    <row r="68" spans="1:11" x14ac:dyDescent="0.25">
      <c r="A68" s="62" t="s">
        <v>316</v>
      </c>
      <c r="B68" s="8"/>
      <c r="C68" s="8">
        <v>90708</v>
      </c>
      <c r="D68" s="16"/>
      <c r="E68" s="16"/>
      <c r="F68" s="16"/>
      <c r="G68" s="8"/>
      <c r="H68" s="16"/>
      <c r="I68" s="16"/>
      <c r="J68" s="364">
        <f t="shared" ref="J68:J73" si="12">SUM(C68:I68)</f>
        <v>90708</v>
      </c>
      <c r="K68" s="9">
        <f t="shared" ref="K68:K74" si="13">K67+J68</f>
        <v>3478484</v>
      </c>
    </row>
    <row r="69" spans="1:11" x14ac:dyDescent="0.25">
      <c r="A69" s="62" t="s">
        <v>317</v>
      </c>
      <c r="B69" s="8"/>
      <c r="C69" s="8">
        <v>90708</v>
      </c>
      <c r="D69" s="16"/>
      <c r="E69" s="16"/>
      <c r="F69" s="16"/>
      <c r="G69" s="16"/>
      <c r="H69" s="16"/>
      <c r="I69" s="16"/>
      <c r="J69" s="364">
        <f t="shared" si="12"/>
        <v>90708</v>
      </c>
      <c r="K69" s="9">
        <f t="shared" si="13"/>
        <v>3569192</v>
      </c>
    </row>
    <row r="70" spans="1:11" x14ac:dyDescent="0.25">
      <c r="A70" s="62" t="s">
        <v>318</v>
      </c>
      <c r="B70" s="8"/>
      <c r="C70" s="8">
        <v>90708</v>
      </c>
      <c r="D70" s="8"/>
      <c r="E70" s="8"/>
      <c r="F70" s="16"/>
      <c r="G70" s="16"/>
      <c r="H70" s="16"/>
      <c r="I70" s="16"/>
      <c r="J70" s="364">
        <f t="shared" si="12"/>
        <v>90708</v>
      </c>
      <c r="K70" s="9">
        <f t="shared" si="13"/>
        <v>3659900</v>
      </c>
    </row>
    <row r="71" spans="1:11" x14ac:dyDescent="0.25">
      <c r="A71" s="62" t="s">
        <v>319</v>
      </c>
      <c r="B71" s="8"/>
      <c r="C71" s="8">
        <v>107525</v>
      </c>
      <c r="D71" s="16"/>
      <c r="E71" s="8"/>
      <c r="F71" s="8"/>
      <c r="G71" s="163"/>
      <c r="H71" s="16"/>
      <c r="I71" s="16"/>
      <c r="J71" s="364">
        <f>SUM(C71:I71)</f>
        <v>107525</v>
      </c>
      <c r="K71" s="9">
        <f t="shared" si="13"/>
        <v>3767425</v>
      </c>
    </row>
    <row r="72" spans="1:11" x14ac:dyDescent="0.25">
      <c r="A72" s="62" t="s">
        <v>352</v>
      </c>
      <c r="B72" s="8"/>
      <c r="C72" s="8">
        <v>8186</v>
      </c>
      <c r="D72" s="16"/>
      <c r="E72" s="16"/>
      <c r="F72" s="8"/>
      <c r="G72" s="163"/>
      <c r="H72" s="16"/>
      <c r="I72" s="16"/>
      <c r="J72" s="364">
        <f t="shared" si="12"/>
        <v>8186</v>
      </c>
      <c r="K72" s="9">
        <f t="shared" si="13"/>
        <v>3775611</v>
      </c>
    </row>
    <row r="73" spans="1:11" x14ac:dyDescent="0.25">
      <c r="A73" s="61" t="s">
        <v>358</v>
      </c>
      <c r="B73" s="8"/>
      <c r="C73" s="8">
        <v>34405</v>
      </c>
      <c r="D73" s="8"/>
      <c r="E73" s="163"/>
      <c r="F73" s="8"/>
      <c r="G73" s="8"/>
      <c r="H73" s="8"/>
      <c r="I73" s="8"/>
      <c r="J73" s="364">
        <f t="shared" si="12"/>
        <v>34405</v>
      </c>
      <c r="K73" s="9">
        <f t="shared" si="13"/>
        <v>3810016</v>
      </c>
    </row>
    <row r="74" spans="1:11" ht="15.75" thickBot="1" x14ac:dyDescent="0.3">
      <c r="A74" s="73" t="s">
        <v>364</v>
      </c>
      <c r="B74" s="10"/>
      <c r="C74" s="10"/>
      <c r="D74" s="10">
        <v>75705</v>
      </c>
      <c r="E74" s="3"/>
      <c r="F74" s="272"/>
      <c r="G74" s="10"/>
      <c r="H74" s="3"/>
      <c r="I74" s="3"/>
      <c r="J74" s="440">
        <f>SUM(C74:I74)</f>
        <v>75705</v>
      </c>
      <c r="K74" s="11">
        <f t="shared" si="13"/>
        <v>3885721</v>
      </c>
    </row>
    <row r="75" spans="1:11" x14ac:dyDescent="0.25">
      <c r="A75" s="79" t="s">
        <v>60</v>
      </c>
      <c r="B75" s="12"/>
      <c r="C75" s="291">
        <f>SUM(C66:C74)</f>
        <v>3528826</v>
      </c>
      <c r="D75" s="291">
        <f t="shared" ref="D75:I75" si="14">SUM(D66:D74)</f>
        <v>356895</v>
      </c>
      <c r="E75" s="291">
        <f t="shared" si="14"/>
        <v>0</v>
      </c>
      <c r="F75" s="291">
        <f t="shared" si="14"/>
        <v>0</v>
      </c>
      <c r="G75" s="291">
        <f t="shared" si="14"/>
        <v>0</v>
      </c>
      <c r="H75" s="291">
        <f t="shared" si="14"/>
        <v>0</v>
      </c>
      <c r="I75" s="291">
        <f t="shared" si="14"/>
        <v>0</v>
      </c>
      <c r="J75" s="80">
        <f>SUM(J66:J74)</f>
        <v>775795</v>
      </c>
      <c r="K75" s="82">
        <f>SUM(K74)</f>
        <v>3885721</v>
      </c>
    </row>
    <row r="76" spans="1:11" x14ac:dyDescent="0.25">
      <c r="A76" s="62" t="s">
        <v>381</v>
      </c>
      <c r="B76" s="278"/>
      <c r="C76" s="217">
        <v>90708</v>
      </c>
      <c r="D76" s="16"/>
      <c r="E76" s="16"/>
      <c r="F76" s="217"/>
      <c r="G76" s="217"/>
      <c r="H76" s="16"/>
      <c r="I76" s="16"/>
      <c r="J76" s="217">
        <f t="shared" ref="J76:J81" si="15">SUM(C76:I76)</f>
        <v>90708</v>
      </c>
      <c r="K76" s="9">
        <f>+K75+J76</f>
        <v>3976429</v>
      </c>
    </row>
    <row r="77" spans="1:11" x14ac:dyDescent="0.25">
      <c r="A77" s="62" t="s">
        <v>382</v>
      </c>
      <c r="B77" s="278"/>
      <c r="C77" s="217">
        <v>96434</v>
      </c>
      <c r="D77" s="16"/>
      <c r="E77" s="217"/>
      <c r="F77" s="217"/>
      <c r="G77" s="217"/>
      <c r="H77" s="16"/>
      <c r="I77" s="16"/>
      <c r="J77" s="217">
        <f t="shared" si="15"/>
        <v>96434</v>
      </c>
      <c r="K77" s="9">
        <f t="shared" ref="K77:K85" si="16">+K76+J77</f>
        <v>4072863</v>
      </c>
    </row>
    <row r="78" spans="1:11" x14ac:dyDescent="0.25">
      <c r="A78" s="62" t="s">
        <v>383</v>
      </c>
      <c r="B78" s="278"/>
      <c r="C78" s="217">
        <v>90708</v>
      </c>
      <c r="D78" s="217"/>
      <c r="E78" s="217"/>
      <c r="F78" s="217"/>
      <c r="G78" s="217"/>
      <c r="H78" s="217"/>
      <c r="I78" s="217"/>
      <c r="J78" s="217">
        <f t="shared" si="15"/>
        <v>90708</v>
      </c>
      <c r="K78" s="9">
        <f t="shared" si="16"/>
        <v>4163571</v>
      </c>
    </row>
    <row r="79" spans="1:11" x14ac:dyDescent="0.25">
      <c r="A79" s="145" t="s">
        <v>384</v>
      </c>
      <c r="B79" s="298"/>
      <c r="C79" s="258">
        <v>90708</v>
      </c>
      <c r="D79" s="258"/>
      <c r="E79" s="258"/>
      <c r="F79" s="231"/>
      <c r="G79" s="231"/>
      <c r="H79" s="231"/>
      <c r="I79" s="231"/>
      <c r="J79" s="217">
        <f t="shared" si="15"/>
        <v>90708</v>
      </c>
      <c r="K79" s="9">
        <f t="shared" si="16"/>
        <v>4254279</v>
      </c>
    </row>
    <row r="80" spans="1:11" x14ac:dyDescent="0.25">
      <c r="A80" s="62" t="s">
        <v>385</v>
      </c>
      <c r="B80" s="278"/>
      <c r="C80" s="217">
        <v>90708</v>
      </c>
      <c r="D80" s="16"/>
      <c r="E80" s="217"/>
      <c r="F80" s="217"/>
      <c r="G80" s="16"/>
      <c r="H80" s="16"/>
      <c r="I80" s="185"/>
      <c r="J80" s="217">
        <f t="shared" si="15"/>
        <v>90708</v>
      </c>
      <c r="K80" s="9">
        <f t="shared" si="16"/>
        <v>4344987</v>
      </c>
    </row>
    <row r="81" spans="1:11" x14ac:dyDescent="0.25">
      <c r="A81" s="145" t="s">
        <v>386</v>
      </c>
      <c r="B81" s="243"/>
      <c r="C81" s="81">
        <v>90708</v>
      </c>
      <c r="D81" s="80"/>
      <c r="E81" s="80"/>
      <c r="F81" s="80"/>
      <c r="G81" s="80"/>
      <c r="H81" s="80"/>
      <c r="I81" s="80"/>
      <c r="J81" s="217">
        <f t="shared" si="15"/>
        <v>90708</v>
      </c>
      <c r="K81" s="9">
        <f t="shared" si="16"/>
        <v>4435695</v>
      </c>
    </row>
    <row r="82" spans="1:11" x14ac:dyDescent="0.25">
      <c r="A82" s="62" t="s">
        <v>387</v>
      </c>
      <c r="B82" s="178"/>
      <c r="C82" s="8">
        <v>107525</v>
      </c>
      <c r="D82" s="16"/>
      <c r="E82" s="8"/>
      <c r="F82" s="16"/>
      <c r="G82" s="16"/>
      <c r="H82" s="16"/>
      <c r="I82" s="16"/>
      <c r="J82" s="8">
        <f>SUM(C82:I82)</f>
        <v>107525</v>
      </c>
      <c r="K82" s="9">
        <f t="shared" si="16"/>
        <v>4543220</v>
      </c>
    </row>
    <row r="83" spans="1:11" x14ac:dyDescent="0.25">
      <c r="A83" s="62" t="s">
        <v>420</v>
      </c>
      <c r="B83" s="178"/>
      <c r="C83" s="8">
        <v>8186</v>
      </c>
      <c r="D83" s="16"/>
      <c r="E83" s="8"/>
      <c r="F83" s="16"/>
      <c r="G83" s="16"/>
      <c r="H83" s="16"/>
      <c r="I83" s="16"/>
      <c r="J83" s="8">
        <f>SUM(C83:I83)</f>
        <v>8186</v>
      </c>
      <c r="K83" s="9">
        <f t="shared" si="16"/>
        <v>4551406</v>
      </c>
    </row>
    <row r="84" spans="1:11" x14ac:dyDescent="0.25">
      <c r="A84" s="62" t="s">
        <v>426</v>
      </c>
      <c r="B84" s="178"/>
      <c r="C84" s="8">
        <v>34405</v>
      </c>
      <c r="D84" s="8"/>
      <c r="E84" s="8"/>
      <c r="F84" s="16"/>
      <c r="G84" s="16"/>
      <c r="H84" s="16"/>
      <c r="I84" s="16"/>
      <c r="J84" s="8">
        <f>SUM(C84:I84)</f>
        <v>34405</v>
      </c>
      <c r="K84" s="9">
        <f t="shared" si="16"/>
        <v>4585811</v>
      </c>
    </row>
    <row r="85" spans="1:11" ht="15.75" thickBot="1" x14ac:dyDescent="0.3">
      <c r="A85" s="73" t="s">
        <v>432</v>
      </c>
      <c r="B85" s="182"/>
      <c r="C85" s="10"/>
      <c r="D85" s="10">
        <v>75705</v>
      </c>
      <c r="E85" s="10"/>
      <c r="F85" s="10"/>
      <c r="G85" s="10"/>
      <c r="H85" s="10"/>
      <c r="I85" s="10"/>
      <c r="J85" s="10">
        <f>SUM(C85:I85)</f>
        <v>75705</v>
      </c>
      <c r="K85" s="11">
        <f t="shared" si="16"/>
        <v>4661516</v>
      </c>
    </row>
    <row r="86" spans="1:11" x14ac:dyDescent="0.25">
      <c r="A86" s="79" t="s">
        <v>64</v>
      </c>
      <c r="B86" s="181"/>
      <c r="C86" s="80">
        <f>SUM(C75:C85)</f>
        <v>4228916</v>
      </c>
      <c r="D86" s="80">
        <f t="shared" ref="D86:I86" si="17">SUM(D75:D85)</f>
        <v>432600</v>
      </c>
      <c r="E86" s="80">
        <f t="shared" si="17"/>
        <v>0</v>
      </c>
      <c r="F86" s="80">
        <f t="shared" si="17"/>
        <v>0</v>
      </c>
      <c r="G86" s="80">
        <f t="shared" si="17"/>
        <v>0</v>
      </c>
      <c r="H86" s="80">
        <f t="shared" si="17"/>
        <v>0</v>
      </c>
      <c r="I86" s="80">
        <f t="shared" si="17"/>
        <v>0</v>
      </c>
      <c r="J86" s="80">
        <f>SUM(J76:J85)</f>
        <v>775795</v>
      </c>
      <c r="K86" s="82">
        <f>K85</f>
        <v>4661516</v>
      </c>
    </row>
    <row r="87" spans="1:11" x14ac:dyDescent="0.25">
      <c r="A87" s="61" t="s">
        <v>448</v>
      </c>
      <c r="B87" s="178"/>
      <c r="C87" s="8">
        <v>90708</v>
      </c>
      <c r="D87" s="8"/>
      <c r="E87" s="16"/>
      <c r="F87" s="8"/>
      <c r="G87" s="8"/>
      <c r="H87" s="8"/>
      <c r="I87" s="8"/>
      <c r="J87" s="8">
        <f>SUM(C87:I87)</f>
        <v>90708</v>
      </c>
      <c r="K87" s="9">
        <f>+K86+J87</f>
        <v>4752224</v>
      </c>
    </row>
    <row r="88" spans="1:11" x14ac:dyDescent="0.25">
      <c r="A88" s="62" t="s">
        <v>449</v>
      </c>
      <c r="B88" s="178"/>
      <c r="C88" s="8">
        <v>96434</v>
      </c>
      <c r="D88" s="8"/>
      <c r="E88" s="8"/>
      <c r="F88" s="8"/>
      <c r="G88" s="8"/>
      <c r="H88" s="8"/>
      <c r="I88" s="8"/>
      <c r="J88" s="8">
        <f>SUM(C88:I88)</f>
        <v>96434</v>
      </c>
      <c r="K88" s="9">
        <f>+K87+J88</f>
        <v>4848658</v>
      </c>
    </row>
    <row r="89" spans="1:11" x14ac:dyDescent="0.25">
      <c r="A89" s="145" t="s">
        <v>450</v>
      </c>
      <c r="B89" s="243"/>
      <c r="C89" s="81">
        <v>90708</v>
      </c>
      <c r="D89" s="80"/>
      <c r="E89" s="80"/>
      <c r="F89" s="80"/>
      <c r="G89" s="80"/>
      <c r="H89" s="80"/>
      <c r="I89" s="80"/>
      <c r="J89" s="8">
        <f>SUM(C89:I89)</f>
        <v>90708</v>
      </c>
      <c r="K89" s="9">
        <f>+K88+J89</f>
        <v>4939366</v>
      </c>
    </row>
    <row r="90" spans="1:11" ht="15.75" thickBot="1" x14ac:dyDescent="0.3">
      <c r="A90" s="73" t="s">
        <v>451</v>
      </c>
      <c r="B90" s="182"/>
      <c r="C90" s="10">
        <v>90708</v>
      </c>
      <c r="D90" s="10"/>
      <c r="E90" s="3"/>
      <c r="F90" s="3"/>
      <c r="G90" s="3"/>
      <c r="H90" s="3"/>
      <c r="I90" s="3"/>
      <c r="J90" s="10">
        <f>SUM(C90:I90)</f>
        <v>90708</v>
      </c>
      <c r="K90" s="11">
        <f>+K89+J90</f>
        <v>5030074</v>
      </c>
    </row>
    <row r="91" spans="1:11" ht="15.75" thickBot="1" x14ac:dyDescent="0.3">
      <c r="A91" s="36" t="s">
        <v>442</v>
      </c>
      <c r="B91" s="15"/>
      <c r="C91" s="15">
        <f t="shared" ref="C91:I91" si="18">SUM(C85:C90)</f>
        <v>4597474</v>
      </c>
      <c r="D91" s="15">
        <f>SUM(D86:D90)</f>
        <v>432600</v>
      </c>
      <c r="E91" s="15">
        <f t="shared" si="18"/>
        <v>0</v>
      </c>
      <c r="F91" s="15">
        <f t="shared" si="18"/>
        <v>0</v>
      </c>
      <c r="G91" s="15">
        <f t="shared" si="18"/>
        <v>0</v>
      </c>
      <c r="H91" s="15">
        <f t="shared" si="18"/>
        <v>0</v>
      </c>
      <c r="I91" s="15">
        <f t="shared" si="18"/>
        <v>0</v>
      </c>
      <c r="J91" s="15">
        <f>SUM(J87:J90)</f>
        <v>368558</v>
      </c>
      <c r="K91" s="14">
        <f>+K90</f>
        <v>5030074</v>
      </c>
    </row>
    <row r="92" spans="1:11" x14ac:dyDescent="0.25">
      <c r="A92" t="s">
        <v>5</v>
      </c>
    </row>
    <row r="93" spans="1:11" x14ac:dyDescent="0.25">
      <c r="A93" t="s">
        <v>9</v>
      </c>
      <c r="E93" t="s">
        <v>50</v>
      </c>
      <c r="I93" t="s">
        <v>45</v>
      </c>
    </row>
    <row r="94" spans="1:11" x14ac:dyDescent="0.25">
      <c r="A94" t="s">
        <v>44</v>
      </c>
    </row>
    <row r="95" spans="1:11" x14ac:dyDescent="0.25">
      <c r="E95" t="s">
        <v>13</v>
      </c>
      <c r="F95" s="13">
        <v>6002</v>
      </c>
      <c r="I95" t="s">
        <v>15</v>
      </c>
    </row>
    <row r="96" spans="1:11" x14ac:dyDescent="0.25">
      <c r="E96" t="s">
        <v>6</v>
      </c>
      <c r="F96" s="13" t="s">
        <v>27</v>
      </c>
    </row>
    <row r="97" spans="1:11" ht="15.75" thickBot="1" x14ac:dyDescent="0.3"/>
    <row r="98" spans="1:11" ht="30.75" thickBot="1" x14ac:dyDescent="0.3">
      <c r="A98" s="75" t="s">
        <v>42</v>
      </c>
      <c r="B98" s="45"/>
      <c r="C98" s="45">
        <v>1</v>
      </c>
      <c r="D98" s="45">
        <v>2</v>
      </c>
      <c r="E98" s="45">
        <v>3</v>
      </c>
      <c r="F98" s="45">
        <v>4</v>
      </c>
      <c r="G98" s="45">
        <v>5</v>
      </c>
      <c r="H98" s="45">
        <v>7</v>
      </c>
      <c r="I98" s="45">
        <v>8</v>
      </c>
      <c r="J98" s="51" t="s">
        <v>16</v>
      </c>
      <c r="K98" s="40" t="s">
        <v>17</v>
      </c>
    </row>
    <row r="99" spans="1:11" x14ac:dyDescent="0.25">
      <c r="A99" s="76" t="s">
        <v>43</v>
      </c>
      <c r="B99" s="57"/>
      <c r="C99" s="35">
        <f>+C91</f>
        <v>4597474</v>
      </c>
      <c r="D99" s="35">
        <f t="shared" ref="D99:I99" si="19">+D91</f>
        <v>432600</v>
      </c>
      <c r="E99" s="35">
        <f t="shared" si="19"/>
        <v>0</v>
      </c>
      <c r="F99" s="35">
        <f t="shared" si="19"/>
        <v>0</v>
      </c>
      <c r="G99" s="35">
        <f t="shared" si="19"/>
        <v>0</v>
      </c>
      <c r="H99" s="35">
        <f t="shared" si="19"/>
        <v>0</v>
      </c>
      <c r="I99" s="35">
        <f t="shared" si="19"/>
        <v>0</v>
      </c>
      <c r="J99" s="35">
        <f>+J91</f>
        <v>368558</v>
      </c>
      <c r="K99" s="35">
        <f>+K91</f>
        <v>5030074</v>
      </c>
    </row>
    <row r="100" spans="1:11" x14ac:dyDescent="0.25">
      <c r="A100" s="62" t="s">
        <v>452</v>
      </c>
      <c r="B100" s="8"/>
      <c r="C100" s="8">
        <v>90708</v>
      </c>
      <c r="D100" s="16"/>
      <c r="E100" s="16"/>
      <c r="F100" s="8"/>
      <c r="G100" s="16"/>
      <c r="H100" s="8"/>
      <c r="I100" s="16"/>
      <c r="J100" s="60">
        <f>SUM(C100:I100)</f>
        <v>90708</v>
      </c>
      <c r="K100" s="9">
        <f>+K99+J100</f>
        <v>5120782</v>
      </c>
    </row>
    <row r="101" spans="1:11" x14ac:dyDescent="0.25">
      <c r="A101" s="62" t="s">
        <v>453</v>
      </c>
      <c r="B101" s="8"/>
      <c r="C101" s="8">
        <v>90708</v>
      </c>
      <c r="D101" s="16"/>
      <c r="E101" s="8"/>
      <c r="F101" s="8"/>
      <c r="G101" s="16"/>
      <c r="H101" s="8"/>
      <c r="I101" s="16"/>
      <c r="J101" s="60">
        <f t="shared" ref="J101:J107" si="20">SUM(C101:I101)</f>
        <v>90708</v>
      </c>
      <c r="K101" s="9">
        <f t="shared" ref="K101:K107" si="21">+K100+J101</f>
        <v>5211490</v>
      </c>
    </row>
    <row r="102" spans="1:11" x14ac:dyDescent="0.25">
      <c r="A102" s="62" t="s">
        <v>454</v>
      </c>
      <c r="B102" s="8"/>
      <c r="C102" s="8">
        <v>107525</v>
      </c>
      <c r="D102" s="16"/>
      <c r="E102" s="8"/>
      <c r="F102" s="8"/>
      <c r="G102" s="16"/>
      <c r="H102" s="8"/>
      <c r="I102" s="16"/>
      <c r="J102" s="60">
        <f t="shared" si="20"/>
        <v>107525</v>
      </c>
      <c r="K102" s="9">
        <f t="shared" si="21"/>
        <v>5319015</v>
      </c>
    </row>
    <row r="103" spans="1:11" x14ac:dyDescent="0.25">
      <c r="A103" s="62" t="s">
        <v>485</v>
      </c>
      <c r="B103" s="8"/>
      <c r="C103" s="8">
        <v>8186</v>
      </c>
      <c r="D103" s="16"/>
      <c r="E103" s="8"/>
      <c r="F103" s="8"/>
      <c r="G103" s="8"/>
      <c r="H103" s="8"/>
      <c r="I103" s="16"/>
      <c r="J103" s="60">
        <f t="shared" si="20"/>
        <v>8186</v>
      </c>
      <c r="K103" s="9">
        <f t="shared" si="21"/>
        <v>5327201</v>
      </c>
    </row>
    <row r="104" spans="1:11" x14ac:dyDescent="0.25">
      <c r="A104" s="62" t="s">
        <v>491</v>
      </c>
      <c r="B104" s="8"/>
      <c r="C104" s="8">
        <v>34405</v>
      </c>
      <c r="D104" s="16"/>
      <c r="E104" s="16"/>
      <c r="F104" s="16"/>
      <c r="G104" s="8"/>
      <c r="H104" s="16"/>
      <c r="I104" s="16"/>
      <c r="J104" s="60">
        <f t="shared" si="20"/>
        <v>34405</v>
      </c>
      <c r="K104" s="9">
        <f t="shared" si="21"/>
        <v>5361606</v>
      </c>
    </row>
    <row r="105" spans="1:11" x14ac:dyDescent="0.25">
      <c r="A105" s="62" t="s">
        <v>497</v>
      </c>
      <c r="B105" s="8"/>
      <c r="C105" s="8"/>
      <c r="D105" s="8">
        <v>75705</v>
      </c>
      <c r="E105" s="8"/>
      <c r="F105" s="8"/>
      <c r="G105" s="16"/>
      <c r="H105" s="16"/>
      <c r="I105" s="16"/>
      <c r="J105" s="60">
        <f t="shared" si="20"/>
        <v>75705</v>
      </c>
      <c r="K105" s="9">
        <f t="shared" si="21"/>
        <v>5437311</v>
      </c>
    </row>
    <row r="106" spans="1:11" x14ac:dyDescent="0.25">
      <c r="A106" s="62" t="s">
        <v>562</v>
      </c>
      <c r="B106" s="8"/>
      <c r="C106" s="8"/>
      <c r="D106" s="8"/>
      <c r="E106" s="8">
        <v>201050</v>
      </c>
      <c r="F106" s="8"/>
      <c r="G106" s="16"/>
      <c r="H106" s="16"/>
      <c r="I106" s="16"/>
      <c r="J106" s="60">
        <f t="shared" si="20"/>
        <v>201050</v>
      </c>
      <c r="K106" s="9">
        <f t="shared" si="21"/>
        <v>5638361</v>
      </c>
    </row>
    <row r="107" spans="1:11" ht="15.75" thickBot="1" x14ac:dyDescent="0.3">
      <c r="A107" s="73" t="s">
        <v>526</v>
      </c>
      <c r="B107" s="10"/>
      <c r="C107" s="10"/>
      <c r="D107" s="10"/>
      <c r="E107" s="10">
        <v>77650</v>
      </c>
      <c r="F107" s="10"/>
      <c r="G107" s="3"/>
      <c r="H107" s="3"/>
      <c r="I107" s="3"/>
      <c r="J107" s="186">
        <f t="shared" si="20"/>
        <v>77650</v>
      </c>
      <c r="K107" s="11">
        <f t="shared" si="21"/>
        <v>5716011</v>
      </c>
    </row>
    <row r="108" spans="1:11" x14ac:dyDescent="0.25">
      <c r="A108" s="79" t="s">
        <v>65</v>
      </c>
      <c r="B108" s="80"/>
      <c r="C108" s="80">
        <f>SUM(C99:C107)</f>
        <v>4929006</v>
      </c>
      <c r="D108" s="80">
        <f t="shared" ref="D108:I108" si="22">SUM(D99:D107)</f>
        <v>508305</v>
      </c>
      <c r="E108" s="80">
        <f t="shared" si="22"/>
        <v>278700</v>
      </c>
      <c r="F108" s="80">
        <f t="shared" si="22"/>
        <v>0</v>
      </c>
      <c r="G108" s="80">
        <f t="shared" si="22"/>
        <v>0</v>
      </c>
      <c r="H108" s="80">
        <f t="shared" si="22"/>
        <v>0</v>
      </c>
      <c r="I108" s="80">
        <f t="shared" si="22"/>
        <v>0</v>
      </c>
      <c r="J108" s="84">
        <f>SUM(J99:J107)</f>
        <v>1054495</v>
      </c>
      <c r="K108" s="82">
        <f>+K107</f>
        <v>5716011</v>
      </c>
    </row>
    <row r="109" spans="1:11" x14ac:dyDescent="0.25">
      <c r="A109" s="62" t="s">
        <v>534</v>
      </c>
      <c r="B109" s="8"/>
      <c r="C109" s="8"/>
      <c r="D109" s="16"/>
      <c r="E109" s="16"/>
      <c r="F109" s="8"/>
      <c r="G109" s="8">
        <v>500000</v>
      </c>
      <c r="H109" s="16"/>
      <c r="I109" s="16"/>
      <c r="J109" s="60">
        <f t="shared" ref="J109:J114" si="23">SUM(C109:I109)</f>
        <v>500000</v>
      </c>
      <c r="K109" s="9">
        <f>+K108+J109</f>
        <v>6216011</v>
      </c>
    </row>
    <row r="110" spans="1:11" x14ac:dyDescent="0.25">
      <c r="A110" s="69" t="s">
        <v>545</v>
      </c>
      <c r="B110" s="64"/>
      <c r="C110" s="64"/>
      <c r="D110" s="64"/>
      <c r="E110" s="70"/>
      <c r="F110" s="64">
        <v>400000</v>
      </c>
      <c r="G110" s="70"/>
      <c r="H110" s="70"/>
      <c r="I110" s="70"/>
      <c r="J110" s="60">
        <f t="shared" si="23"/>
        <v>400000</v>
      </c>
      <c r="K110" s="9">
        <f t="shared" ref="K110:K115" si="24">+K109+J110</f>
        <v>6616011</v>
      </c>
    </row>
    <row r="111" spans="1:11" x14ac:dyDescent="0.25">
      <c r="A111" s="200" t="s">
        <v>571</v>
      </c>
      <c r="B111" s="8"/>
      <c r="C111" s="8"/>
      <c r="D111" s="16"/>
      <c r="E111" s="8">
        <v>27600</v>
      </c>
      <c r="F111" s="8"/>
      <c r="G111" s="16"/>
      <c r="H111" s="16"/>
      <c r="I111" s="16"/>
      <c r="J111" s="60">
        <f t="shared" si="23"/>
        <v>27600</v>
      </c>
      <c r="K111" s="9">
        <f t="shared" si="24"/>
        <v>6643611</v>
      </c>
    </row>
    <row r="112" spans="1:11" x14ac:dyDescent="0.25">
      <c r="A112" s="200" t="s">
        <v>572</v>
      </c>
      <c r="B112" s="8"/>
      <c r="C112" s="8">
        <v>657499</v>
      </c>
      <c r="D112" s="8"/>
      <c r="E112" s="8"/>
      <c r="F112" s="16"/>
      <c r="G112" s="16"/>
      <c r="H112" s="16"/>
      <c r="I112" s="16"/>
      <c r="J112" s="60">
        <f t="shared" si="23"/>
        <v>657499</v>
      </c>
      <c r="K112" s="9">
        <f t="shared" si="24"/>
        <v>7301110</v>
      </c>
    </row>
    <row r="113" spans="1:11" x14ac:dyDescent="0.25">
      <c r="A113" s="200" t="s">
        <v>573</v>
      </c>
      <c r="B113" s="8"/>
      <c r="C113" s="8">
        <v>8186</v>
      </c>
      <c r="D113" s="16"/>
      <c r="E113" s="234"/>
      <c r="F113" s="234"/>
      <c r="G113" s="234"/>
      <c r="H113" s="16"/>
      <c r="I113" s="16"/>
      <c r="J113" s="60">
        <f t="shared" si="23"/>
        <v>8186</v>
      </c>
      <c r="K113" s="9">
        <f t="shared" si="24"/>
        <v>7309296</v>
      </c>
    </row>
    <row r="114" spans="1:11" x14ac:dyDescent="0.25">
      <c r="A114" s="323" t="s">
        <v>574</v>
      </c>
      <c r="B114" s="8"/>
      <c r="C114" s="8">
        <v>34405</v>
      </c>
      <c r="D114" s="8"/>
      <c r="E114" s="234"/>
      <c r="F114" s="234"/>
      <c r="G114" s="234"/>
      <c r="H114" s="8"/>
      <c r="I114" s="8"/>
      <c r="J114" s="60">
        <f t="shared" si="23"/>
        <v>34405</v>
      </c>
      <c r="K114" s="9">
        <f t="shared" si="24"/>
        <v>7343701</v>
      </c>
    </row>
    <row r="115" spans="1:11" ht="15.75" thickBot="1" x14ac:dyDescent="0.3">
      <c r="A115" s="269" t="s">
        <v>575</v>
      </c>
      <c r="B115" s="10"/>
      <c r="C115" s="10"/>
      <c r="D115" s="10">
        <v>75705</v>
      </c>
      <c r="E115" s="242"/>
      <c r="F115" s="242"/>
      <c r="G115" s="242"/>
      <c r="H115" s="10"/>
      <c r="I115" s="10"/>
      <c r="J115" s="186">
        <f t="shared" ref="J115:J120" si="25">SUM(C115:I115)</f>
        <v>75705</v>
      </c>
      <c r="K115" s="11">
        <f t="shared" si="24"/>
        <v>7419406</v>
      </c>
    </row>
    <row r="116" spans="1:11" x14ac:dyDescent="0.25">
      <c r="A116" s="265" t="s">
        <v>66</v>
      </c>
      <c r="B116" s="80"/>
      <c r="C116" s="80">
        <f>SUM(C108:C115)</f>
        <v>5629096</v>
      </c>
      <c r="D116" s="80">
        <f t="shared" ref="D116:I116" si="26">SUM(D108:D115)</f>
        <v>584010</v>
      </c>
      <c r="E116" s="80">
        <f t="shared" si="26"/>
        <v>306300</v>
      </c>
      <c r="F116" s="80">
        <f t="shared" si="26"/>
        <v>400000</v>
      </c>
      <c r="G116" s="80">
        <f t="shared" si="26"/>
        <v>500000</v>
      </c>
      <c r="H116" s="80">
        <f t="shared" si="26"/>
        <v>0</v>
      </c>
      <c r="I116" s="80">
        <f t="shared" si="26"/>
        <v>0</v>
      </c>
      <c r="J116" s="84">
        <f>SUM(J109:J115)</f>
        <v>1703395</v>
      </c>
      <c r="K116" s="82">
        <f>+K115</f>
        <v>7419406</v>
      </c>
    </row>
    <row r="117" spans="1:11" x14ac:dyDescent="0.25">
      <c r="A117" s="323" t="s">
        <v>615</v>
      </c>
      <c r="B117" s="8"/>
      <c r="C117" s="8">
        <v>1129164</v>
      </c>
      <c r="D117" s="8"/>
      <c r="E117" s="234"/>
      <c r="F117" s="234"/>
      <c r="G117" s="234"/>
      <c r="H117" s="8"/>
      <c r="I117" s="8"/>
      <c r="J117" s="60">
        <f t="shared" si="25"/>
        <v>1129164</v>
      </c>
      <c r="K117" s="100">
        <f>+K116+J117</f>
        <v>8548570</v>
      </c>
    </row>
    <row r="118" spans="1:11" x14ac:dyDescent="0.25">
      <c r="A118" s="200" t="s">
        <v>627</v>
      </c>
      <c r="B118" s="178"/>
      <c r="C118" s="8">
        <v>18363</v>
      </c>
      <c r="D118" s="8"/>
      <c r="E118" s="8"/>
      <c r="F118" s="8"/>
      <c r="G118" s="8"/>
      <c r="H118" s="8"/>
      <c r="I118" s="8"/>
      <c r="J118" s="60">
        <f t="shared" si="25"/>
        <v>18363</v>
      </c>
      <c r="K118" s="100">
        <f>+K117+J118</f>
        <v>8566933</v>
      </c>
    </row>
    <row r="119" spans="1:11" x14ac:dyDescent="0.25">
      <c r="A119" s="200" t="s">
        <v>628</v>
      </c>
      <c r="B119" s="178"/>
      <c r="C119" s="8">
        <v>77153</v>
      </c>
      <c r="D119" s="8"/>
      <c r="E119" s="8"/>
      <c r="F119" s="8"/>
      <c r="G119" s="8"/>
      <c r="H119" s="8"/>
      <c r="I119" s="8"/>
      <c r="J119" s="60">
        <f t="shared" si="25"/>
        <v>77153</v>
      </c>
      <c r="K119" s="100">
        <f>+K118+J119</f>
        <v>8644086</v>
      </c>
    </row>
    <row r="120" spans="1:11" ht="15.75" thickBot="1" x14ac:dyDescent="0.3">
      <c r="A120" s="226" t="s">
        <v>629</v>
      </c>
      <c r="B120" s="345"/>
      <c r="C120" s="78"/>
      <c r="D120" s="78">
        <v>189215</v>
      </c>
      <c r="E120" s="124"/>
      <c r="F120" s="124"/>
      <c r="G120" s="124"/>
      <c r="H120" s="124"/>
      <c r="I120" s="124"/>
      <c r="J120" s="71">
        <f t="shared" si="25"/>
        <v>189215</v>
      </c>
      <c r="K120" s="127">
        <f>+K119+J120</f>
        <v>8833301</v>
      </c>
    </row>
    <row r="121" spans="1:11" ht="15.75" thickBot="1" x14ac:dyDescent="0.3">
      <c r="A121" s="164"/>
      <c r="B121" s="83"/>
      <c r="C121" s="83">
        <f>SUM(C116:C120)</f>
        <v>6853776</v>
      </c>
      <c r="D121" s="83">
        <f t="shared" ref="D121:I121" si="27">SUM(D116:D120)</f>
        <v>773225</v>
      </c>
      <c r="E121" s="83">
        <f t="shared" si="27"/>
        <v>306300</v>
      </c>
      <c r="F121" s="83">
        <f t="shared" si="27"/>
        <v>400000</v>
      </c>
      <c r="G121" s="83">
        <f t="shared" si="27"/>
        <v>500000</v>
      </c>
      <c r="H121" s="83">
        <f t="shared" si="27"/>
        <v>0</v>
      </c>
      <c r="I121" s="83">
        <f t="shared" si="27"/>
        <v>0</v>
      </c>
      <c r="J121" s="83">
        <f>SUM(J117:J120)</f>
        <v>1413895</v>
      </c>
      <c r="K121" s="149">
        <f>+K120</f>
        <v>8833301</v>
      </c>
    </row>
    <row r="122" spans="1:11" x14ac:dyDescent="0.25">
      <c r="A122" t="s">
        <v>5</v>
      </c>
    </row>
    <row r="123" spans="1:11" ht="15.75" thickBot="1" x14ac:dyDescent="0.3"/>
    <row r="124" spans="1:11" ht="15.75" thickBot="1" x14ac:dyDescent="0.3">
      <c r="A124" s="325" t="s">
        <v>67</v>
      </c>
      <c r="B124" s="325"/>
      <c r="C124" s="326">
        <f>C11-C121</f>
        <v>3394224</v>
      </c>
      <c r="D124" s="326">
        <f t="shared" ref="D124:K124" si="28">D11-D121</f>
        <v>329775</v>
      </c>
      <c r="E124" s="326">
        <f t="shared" si="28"/>
        <v>293700</v>
      </c>
      <c r="F124" s="326">
        <f t="shared" si="28"/>
        <v>300000</v>
      </c>
      <c r="G124" s="326">
        <f t="shared" si="28"/>
        <v>1000000</v>
      </c>
      <c r="H124" s="326">
        <f t="shared" si="28"/>
        <v>200000</v>
      </c>
      <c r="I124" s="326">
        <f t="shared" si="28"/>
        <v>1000000</v>
      </c>
      <c r="J124" s="326"/>
      <c r="K124" s="326">
        <f t="shared" si="28"/>
        <v>6517699</v>
      </c>
    </row>
    <row r="125" spans="1:11" x14ac:dyDescent="0.25">
      <c r="A125" t="s">
        <v>9</v>
      </c>
      <c r="E125" t="s">
        <v>50</v>
      </c>
      <c r="I125" t="s">
        <v>45</v>
      </c>
    </row>
    <row r="126" spans="1:11" x14ac:dyDescent="0.25">
      <c r="A126" t="s">
        <v>44</v>
      </c>
    </row>
    <row r="127" spans="1:11" x14ac:dyDescent="0.25">
      <c r="E127" t="s">
        <v>13</v>
      </c>
      <c r="F127" s="13">
        <v>6002</v>
      </c>
      <c r="I127" t="s">
        <v>15</v>
      </c>
    </row>
    <row r="128" spans="1:11" x14ac:dyDescent="0.25">
      <c r="E128" t="s">
        <v>6</v>
      </c>
      <c r="F128" s="13" t="s">
        <v>27</v>
      </c>
    </row>
    <row r="129" spans="1:11" ht="15.75" thickBot="1" x14ac:dyDescent="0.3"/>
    <row r="130" spans="1:11" ht="30.75" thickBot="1" x14ac:dyDescent="0.3">
      <c r="A130" s="75" t="s">
        <v>42</v>
      </c>
      <c r="B130" s="45"/>
      <c r="C130" s="45">
        <v>1</v>
      </c>
      <c r="D130" s="45">
        <v>2</v>
      </c>
      <c r="E130" s="45">
        <v>3</v>
      </c>
      <c r="F130" s="45">
        <v>4</v>
      </c>
      <c r="G130" s="45">
        <v>5</v>
      </c>
      <c r="H130" s="45">
        <v>7</v>
      </c>
      <c r="I130" s="45">
        <v>8</v>
      </c>
      <c r="J130" s="51" t="s">
        <v>16</v>
      </c>
      <c r="K130" s="40" t="s">
        <v>17</v>
      </c>
    </row>
    <row r="131" spans="1:11" x14ac:dyDescent="0.25">
      <c r="A131" s="76" t="s">
        <v>43</v>
      </c>
      <c r="B131" s="57"/>
      <c r="C131" s="35">
        <f>+C121</f>
        <v>6853776</v>
      </c>
      <c r="D131" s="35">
        <f t="shared" ref="D131:I131" si="29">+D121</f>
        <v>773225</v>
      </c>
      <c r="E131" s="35">
        <f t="shared" si="29"/>
        <v>306300</v>
      </c>
      <c r="F131" s="35">
        <f t="shared" si="29"/>
        <v>400000</v>
      </c>
      <c r="G131" s="35">
        <f t="shared" si="29"/>
        <v>500000</v>
      </c>
      <c r="H131" s="35">
        <f t="shared" si="29"/>
        <v>0</v>
      </c>
      <c r="I131" s="35">
        <f t="shared" si="29"/>
        <v>0</v>
      </c>
      <c r="J131" s="35">
        <f>+J121</f>
        <v>1413895</v>
      </c>
      <c r="K131" s="35">
        <f>+K121</f>
        <v>8833301</v>
      </c>
    </row>
    <row r="132" spans="1:11" x14ac:dyDescent="0.25">
      <c r="A132" s="62" t="s">
        <v>630</v>
      </c>
      <c r="B132" s="8"/>
      <c r="C132" s="8"/>
      <c r="D132" s="16"/>
      <c r="E132" s="16"/>
      <c r="F132" s="8"/>
      <c r="G132" s="16"/>
      <c r="H132" s="8">
        <v>200000</v>
      </c>
      <c r="I132" s="16"/>
      <c r="J132" s="60">
        <f t="shared" ref="J132:J144" si="30">SUM(C132:I132)</f>
        <v>200000</v>
      </c>
      <c r="K132" s="9">
        <f t="shared" ref="K132:K137" si="31">+K131+J132</f>
        <v>9033301</v>
      </c>
    </row>
    <row r="133" spans="1:11" x14ac:dyDescent="0.25">
      <c r="A133" s="69" t="s">
        <v>666</v>
      </c>
      <c r="B133" s="64"/>
      <c r="C133" s="64">
        <v>346416</v>
      </c>
      <c r="D133" s="64"/>
      <c r="E133" s="64"/>
      <c r="F133" s="64"/>
      <c r="G133" s="70"/>
      <c r="H133" s="64"/>
      <c r="I133" s="70"/>
      <c r="J133" s="71">
        <f t="shared" si="30"/>
        <v>346416</v>
      </c>
      <c r="K133" s="9">
        <f t="shared" si="31"/>
        <v>9379717</v>
      </c>
    </row>
    <row r="134" spans="1:11" x14ac:dyDescent="0.25">
      <c r="A134" s="200" t="s">
        <v>667</v>
      </c>
      <c r="B134" s="8"/>
      <c r="C134" s="8">
        <v>445808</v>
      </c>
      <c r="D134" s="8"/>
      <c r="E134" s="8"/>
      <c r="F134" s="8"/>
      <c r="G134" s="8"/>
      <c r="H134" s="8"/>
      <c r="I134" s="8">
        <f>SUM(I131:I133)</f>
        <v>0</v>
      </c>
      <c r="J134" s="71">
        <f t="shared" si="30"/>
        <v>445808</v>
      </c>
      <c r="K134" s="9">
        <f t="shared" si="31"/>
        <v>9825525</v>
      </c>
    </row>
    <row r="135" spans="1:11" x14ac:dyDescent="0.25">
      <c r="A135" s="145" t="s">
        <v>675</v>
      </c>
      <c r="B135" s="81"/>
      <c r="C135" s="81">
        <v>11083</v>
      </c>
      <c r="D135" s="80"/>
      <c r="E135" s="81"/>
      <c r="F135" s="81"/>
      <c r="G135" s="81"/>
      <c r="H135" s="81"/>
      <c r="I135" s="80"/>
      <c r="J135" s="71">
        <f t="shared" si="30"/>
        <v>11083</v>
      </c>
      <c r="K135" s="9">
        <f t="shared" si="31"/>
        <v>9836608</v>
      </c>
    </row>
    <row r="136" spans="1:11" x14ac:dyDescent="0.25">
      <c r="A136" s="145" t="s">
        <v>682</v>
      </c>
      <c r="B136" s="8"/>
      <c r="C136" s="8">
        <v>43658</v>
      </c>
      <c r="D136" s="16"/>
      <c r="E136" s="16"/>
      <c r="F136" s="16"/>
      <c r="G136" s="8"/>
      <c r="H136" s="16"/>
      <c r="I136" s="16"/>
      <c r="J136" s="60">
        <f t="shared" si="30"/>
        <v>43658</v>
      </c>
      <c r="K136" s="9">
        <f t="shared" si="31"/>
        <v>9880266</v>
      </c>
    </row>
    <row r="137" spans="1:11" ht="15.75" thickBot="1" x14ac:dyDescent="0.3">
      <c r="A137" s="73" t="s">
        <v>701</v>
      </c>
      <c r="B137" s="10"/>
      <c r="C137" s="10"/>
      <c r="D137" s="10">
        <v>86329</v>
      </c>
      <c r="E137" s="10"/>
      <c r="F137" s="10"/>
      <c r="G137" s="10"/>
      <c r="H137" s="10"/>
      <c r="I137" s="10"/>
      <c r="J137" s="186">
        <f t="shared" si="30"/>
        <v>86329</v>
      </c>
      <c r="K137" s="11">
        <f t="shared" si="31"/>
        <v>9966595</v>
      </c>
    </row>
    <row r="138" spans="1:11" x14ac:dyDescent="0.25">
      <c r="A138" s="204" t="s">
        <v>69</v>
      </c>
      <c r="B138" s="124"/>
      <c r="C138" s="124">
        <f>SUM(C131:C137)</f>
        <v>7700741</v>
      </c>
      <c r="D138" s="124">
        <f t="shared" ref="D138:I138" si="32">SUM(D131:D137)</f>
        <v>859554</v>
      </c>
      <c r="E138" s="124">
        <f t="shared" si="32"/>
        <v>306300</v>
      </c>
      <c r="F138" s="124">
        <f t="shared" si="32"/>
        <v>400000</v>
      </c>
      <c r="G138" s="124">
        <f t="shared" si="32"/>
        <v>500000</v>
      </c>
      <c r="H138" s="124">
        <f t="shared" si="32"/>
        <v>200000</v>
      </c>
      <c r="I138" s="124">
        <f t="shared" si="32"/>
        <v>0</v>
      </c>
      <c r="J138" s="525">
        <f>SUM(J131:J137)</f>
        <v>2547189</v>
      </c>
      <c r="K138" s="128">
        <f>+K137</f>
        <v>9966595</v>
      </c>
    </row>
    <row r="139" spans="1:11" x14ac:dyDescent="0.25">
      <c r="A139" s="69" t="s">
        <v>716</v>
      </c>
      <c r="B139" s="64"/>
      <c r="C139" s="64"/>
      <c r="D139" s="64"/>
      <c r="E139" s="64">
        <v>80200</v>
      </c>
      <c r="F139" s="64"/>
      <c r="G139" s="64"/>
      <c r="H139" s="64"/>
      <c r="I139" s="64"/>
      <c r="J139" s="71">
        <f>SUM(B139:I139)</f>
        <v>80200</v>
      </c>
      <c r="K139" s="65">
        <f>K138+J139</f>
        <v>10046795</v>
      </c>
    </row>
    <row r="140" spans="1:11" x14ac:dyDescent="0.25">
      <c r="A140" s="69" t="s">
        <v>717</v>
      </c>
      <c r="B140" s="64"/>
      <c r="C140" s="64"/>
      <c r="D140" s="64"/>
      <c r="E140" s="64">
        <v>38400</v>
      </c>
      <c r="F140" s="64"/>
      <c r="G140" s="64"/>
      <c r="H140" s="64"/>
      <c r="I140" s="64"/>
      <c r="J140" s="71">
        <f>SUM(B140:I140)</f>
        <v>38400</v>
      </c>
      <c r="K140" s="65">
        <f>K139+J140</f>
        <v>10085195</v>
      </c>
    </row>
    <row r="141" spans="1:11" x14ac:dyDescent="0.25">
      <c r="A141" s="69" t="s">
        <v>718</v>
      </c>
      <c r="B141" s="64"/>
      <c r="C141" s="64"/>
      <c r="D141" s="70"/>
      <c r="E141" s="64">
        <v>33600</v>
      </c>
      <c r="F141" s="64"/>
      <c r="G141" s="70"/>
      <c r="H141" s="70"/>
      <c r="I141" s="70"/>
      <c r="J141" s="71">
        <f>SUM(B141:I141)</f>
        <v>33600</v>
      </c>
      <c r="K141" s="65">
        <f>K140+J141</f>
        <v>10118795</v>
      </c>
    </row>
    <row r="142" spans="1:11" x14ac:dyDescent="0.25">
      <c r="A142" s="200" t="s">
        <v>721</v>
      </c>
      <c r="B142" s="16"/>
      <c r="C142" s="16"/>
      <c r="D142" s="16"/>
      <c r="E142" s="16"/>
      <c r="F142" s="16"/>
      <c r="G142" s="8">
        <v>849989</v>
      </c>
      <c r="H142" s="16"/>
      <c r="I142" s="16"/>
      <c r="J142" s="71">
        <f>SUM(B142:I142)</f>
        <v>849989</v>
      </c>
      <c r="K142" s="65">
        <f>K141+J142</f>
        <v>10968784</v>
      </c>
    </row>
    <row r="143" spans="1:11" x14ac:dyDescent="0.25">
      <c r="A143" s="200" t="s">
        <v>745</v>
      </c>
      <c r="B143" s="8"/>
      <c r="C143" s="8">
        <v>115472</v>
      </c>
      <c r="D143" s="16"/>
      <c r="E143" s="16"/>
      <c r="F143" s="8"/>
      <c r="G143" s="16"/>
      <c r="H143" s="16"/>
      <c r="I143" s="16"/>
      <c r="J143" s="60">
        <f t="shared" si="30"/>
        <v>115472</v>
      </c>
      <c r="K143" s="8">
        <f t="shared" ref="K143:K149" si="33">+K142+J143</f>
        <v>11084256</v>
      </c>
    </row>
    <row r="144" spans="1:11" x14ac:dyDescent="0.25">
      <c r="A144" s="200" t="s">
        <v>746</v>
      </c>
      <c r="B144" s="8"/>
      <c r="C144" s="8">
        <v>115472</v>
      </c>
      <c r="D144" s="8"/>
      <c r="E144" s="16"/>
      <c r="F144" s="8"/>
      <c r="G144" s="16"/>
      <c r="H144" s="16"/>
      <c r="I144" s="16"/>
      <c r="J144" s="60">
        <f t="shared" si="30"/>
        <v>115472</v>
      </c>
      <c r="K144" s="8">
        <f t="shared" si="33"/>
        <v>11199728</v>
      </c>
    </row>
    <row r="145" spans="1:11" x14ac:dyDescent="0.25">
      <c r="A145" s="200" t="s">
        <v>747</v>
      </c>
      <c r="B145" s="8"/>
      <c r="C145" s="8">
        <v>115472</v>
      </c>
      <c r="D145" s="16"/>
      <c r="E145" s="16"/>
      <c r="F145" s="8"/>
      <c r="G145" s="16"/>
      <c r="H145" s="16"/>
      <c r="I145" s="16"/>
      <c r="J145" s="60">
        <f t="shared" ref="J145:J152" si="34">SUM(C145:I145)</f>
        <v>115472</v>
      </c>
      <c r="K145" s="8">
        <f t="shared" si="33"/>
        <v>11315200</v>
      </c>
    </row>
    <row r="146" spans="1:11" x14ac:dyDescent="0.25">
      <c r="A146" s="200" t="s">
        <v>748</v>
      </c>
      <c r="B146" s="8"/>
      <c r="C146" s="8">
        <v>445808</v>
      </c>
      <c r="D146" s="8"/>
      <c r="E146" s="8"/>
      <c r="F146" s="16"/>
      <c r="G146" s="16"/>
      <c r="H146" s="16"/>
      <c r="I146" s="16"/>
      <c r="J146" s="60">
        <f t="shared" si="34"/>
        <v>445808</v>
      </c>
      <c r="K146" s="8">
        <f t="shared" si="33"/>
        <v>11761008</v>
      </c>
    </row>
    <row r="147" spans="1:11" x14ac:dyDescent="0.25">
      <c r="A147" s="200" t="s">
        <v>763</v>
      </c>
      <c r="B147" s="8"/>
      <c r="C147" s="8">
        <v>11083</v>
      </c>
      <c r="D147" s="16"/>
      <c r="E147" s="8"/>
      <c r="F147" s="8"/>
      <c r="G147" s="163"/>
      <c r="H147" s="16"/>
      <c r="I147" s="16"/>
      <c r="J147" s="60">
        <f t="shared" si="34"/>
        <v>11083</v>
      </c>
      <c r="K147" s="8">
        <f t="shared" si="33"/>
        <v>11772091</v>
      </c>
    </row>
    <row r="148" spans="1:11" x14ac:dyDescent="0.25">
      <c r="A148" s="323" t="s">
        <v>764</v>
      </c>
      <c r="B148" s="8"/>
      <c r="C148" s="8">
        <v>43658</v>
      </c>
      <c r="D148" s="8"/>
      <c r="E148" s="163"/>
      <c r="F148" s="8"/>
      <c r="G148" s="8"/>
      <c r="H148" s="8"/>
      <c r="I148" s="8"/>
      <c r="J148" s="60">
        <f t="shared" si="34"/>
        <v>43658</v>
      </c>
      <c r="K148" s="8">
        <f t="shared" si="33"/>
        <v>11815749</v>
      </c>
    </row>
    <row r="149" spans="1:11" ht="15.75" thickBot="1" x14ac:dyDescent="0.3">
      <c r="A149" s="269" t="s">
        <v>765</v>
      </c>
      <c r="B149" s="10"/>
      <c r="C149" s="10"/>
      <c r="D149" s="10">
        <v>86329</v>
      </c>
      <c r="E149" s="272"/>
      <c r="F149" s="10"/>
      <c r="G149" s="10"/>
      <c r="H149" s="10"/>
      <c r="I149" s="10"/>
      <c r="J149" s="186">
        <f t="shared" si="34"/>
        <v>86329</v>
      </c>
      <c r="K149" s="10">
        <f t="shared" si="33"/>
        <v>11902078</v>
      </c>
    </row>
    <row r="150" spans="1:11" x14ac:dyDescent="0.25">
      <c r="A150" s="265" t="s">
        <v>70</v>
      </c>
      <c r="B150" s="80"/>
      <c r="C150" s="80">
        <f>SUM(C138:C149)</f>
        <v>8547706</v>
      </c>
      <c r="D150" s="80">
        <f t="shared" ref="D150:I150" si="35">SUM(D138:D149)</f>
        <v>945883</v>
      </c>
      <c r="E150" s="80">
        <f t="shared" si="35"/>
        <v>458500</v>
      </c>
      <c r="F150" s="80">
        <f t="shared" si="35"/>
        <v>400000</v>
      </c>
      <c r="G150" s="80">
        <f t="shared" si="35"/>
        <v>1349989</v>
      </c>
      <c r="H150" s="80">
        <f t="shared" si="35"/>
        <v>200000</v>
      </c>
      <c r="I150" s="80">
        <f t="shared" si="35"/>
        <v>0</v>
      </c>
      <c r="J150" s="84">
        <f>SUM(J139:J149)</f>
        <v>1935483</v>
      </c>
      <c r="K150" s="80">
        <f>+K149</f>
        <v>11902078</v>
      </c>
    </row>
    <row r="151" spans="1:11" x14ac:dyDescent="0.25">
      <c r="A151" s="200" t="s">
        <v>800</v>
      </c>
      <c r="B151" s="178"/>
      <c r="C151" s="8">
        <v>346416</v>
      </c>
      <c r="D151" s="8"/>
      <c r="E151" s="8"/>
      <c r="F151" s="8"/>
      <c r="G151" s="8"/>
      <c r="H151" s="8"/>
      <c r="I151" s="8"/>
      <c r="J151" s="60">
        <f t="shared" si="34"/>
        <v>346416</v>
      </c>
      <c r="K151" s="8">
        <f>K150+J151</f>
        <v>12248494</v>
      </c>
    </row>
    <row r="152" spans="1:11" ht="15.75" thickBot="1" x14ac:dyDescent="0.3">
      <c r="A152" s="226" t="s">
        <v>801</v>
      </c>
      <c r="B152" s="345"/>
      <c r="C152" s="78">
        <v>445808</v>
      </c>
      <c r="D152" s="78"/>
      <c r="E152" s="124"/>
      <c r="F152" s="124"/>
      <c r="G152" s="124"/>
      <c r="H152" s="124"/>
      <c r="I152" s="124"/>
      <c r="J152" s="379">
        <f t="shared" si="34"/>
        <v>445808</v>
      </c>
      <c r="K152" s="8">
        <f>K151+J152</f>
        <v>12694302</v>
      </c>
    </row>
    <row r="153" spans="1:11" ht="15.75" thickBot="1" x14ac:dyDescent="0.3">
      <c r="A153" s="164"/>
      <c r="B153" s="83"/>
      <c r="C153" s="83">
        <f>SUM(C150:C152)</f>
        <v>9339930</v>
      </c>
      <c r="D153" s="83">
        <f t="shared" ref="D153:I153" si="36">SUM(D150:D152)</f>
        <v>945883</v>
      </c>
      <c r="E153" s="83">
        <f t="shared" si="36"/>
        <v>458500</v>
      </c>
      <c r="F153" s="83">
        <f t="shared" si="36"/>
        <v>400000</v>
      </c>
      <c r="G153" s="83">
        <f t="shared" si="36"/>
        <v>1349989</v>
      </c>
      <c r="H153" s="83">
        <f t="shared" si="36"/>
        <v>200000</v>
      </c>
      <c r="I153" s="83">
        <f t="shared" si="36"/>
        <v>0</v>
      </c>
      <c r="J153" s="83">
        <f>SUM(J151:J152)</f>
        <v>792224</v>
      </c>
      <c r="K153" s="149">
        <f>+K152</f>
        <v>12694302</v>
      </c>
    </row>
    <row r="154" spans="1:11" x14ac:dyDescent="0.25">
      <c r="A154" t="s">
        <v>5</v>
      </c>
    </row>
    <row r="155" spans="1:11" ht="15.75" thickBot="1" x14ac:dyDescent="0.3"/>
    <row r="156" spans="1:11" ht="15.75" thickBot="1" x14ac:dyDescent="0.3">
      <c r="A156" s="325" t="s">
        <v>67</v>
      </c>
      <c r="B156" s="325"/>
      <c r="C156" s="326">
        <f>C11-C153</f>
        <v>908070</v>
      </c>
      <c r="D156" s="326">
        <f t="shared" ref="D156:I156" si="37">D11-D153</f>
        <v>157117</v>
      </c>
      <c r="E156" s="326">
        <f t="shared" si="37"/>
        <v>141500</v>
      </c>
      <c r="F156" s="326">
        <f t="shared" si="37"/>
        <v>300000</v>
      </c>
      <c r="G156" s="326">
        <f t="shared" si="37"/>
        <v>150011</v>
      </c>
      <c r="H156" s="326">
        <f t="shared" si="37"/>
        <v>0</v>
      </c>
      <c r="I156" s="326">
        <f t="shared" si="37"/>
        <v>1000000</v>
      </c>
      <c r="J156" s="326">
        <f>J11-J150</f>
        <v>13415517</v>
      </c>
      <c r="K156" s="326">
        <f>K11-K150</f>
        <v>3448922</v>
      </c>
    </row>
    <row r="157" spans="1:11" x14ac:dyDescent="0.25">
      <c r="A157" t="s">
        <v>9</v>
      </c>
      <c r="E157" t="s">
        <v>50</v>
      </c>
      <c r="I157" t="s">
        <v>45</v>
      </c>
    </row>
    <row r="158" spans="1:11" x14ac:dyDescent="0.25">
      <c r="A158" t="s">
        <v>44</v>
      </c>
    </row>
    <row r="159" spans="1:11" x14ac:dyDescent="0.25">
      <c r="E159" t="s">
        <v>13</v>
      </c>
      <c r="F159" s="13">
        <v>6002</v>
      </c>
      <c r="I159" t="s">
        <v>75</v>
      </c>
    </row>
    <row r="160" spans="1:11" x14ac:dyDescent="0.25">
      <c r="E160" t="s">
        <v>6</v>
      </c>
      <c r="F160" s="13" t="s">
        <v>27</v>
      </c>
    </row>
    <row r="161" spans="1:11" ht="15.75" thickBot="1" x14ac:dyDescent="0.3"/>
    <row r="162" spans="1:11" ht="30.75" thickBot="1" x14ac:dyDescent="0.3">
      <c r="A162" s="75" t="s">
        <v>42</v>
      </c>
      <c r="B162" s="45"/>
      <c r="C162" s="45">
        <v>1</v>
      </c>
      <c r="D162" s="45">
        <v>2</v>
      </c>
      <c r="E162" s="45">
        <v>3</v>
      </c>
      <c r="F162" s="45">
        <v>4</v>
      </c>
      <c r="G162" s="45">
        <v>5</v>
      </c>
      <c r="H162" s="45">
        <v>7</v>
      </c>
      <c r="I162" s="45">
        <v>8</v>
      </c>
      <c r="J162" s="51" t="s">
        <v>16</v>
      </c>
      <c r="K162" s="40" t="s">
        <v>17</v>
      </c>
    </row>
    <row r="163" spans="1:11" x14ac:dyDescent="0.25">
      <c r="A163" s="76" t="s">
        <v>43</v>
      </c>
      <c r="B163" s="57"/>
      <c r="C163" s="35">
        <f>+C153</f>
        <v>9339930</v>
      </c>
      <c r="D163" s="35">
        <f t="shared" ref="D163:I163" si="38">+D153</f>
        <v>945883</v>
      </c>
      <c r="E163" s="35">
        <f t="shared" si="38"/>
        <v>458500</v>
      </c>
      <c r="F163" s="35">
        <f t="shared" si="38"/>
        <v>400000</v>
      </c>
      <c r="G163" s="35">
        <f t="shared" si="38"/>
        <v>1349989</v>
      </c>
      <c r="H163" s="35">
        <f t="shared" si="38"/>
        <v>200000</v>
      </c>
      <c r="I163" s="35">
        <f t="shared" si="38"/>
        <v>0</v>
      </c>
      <c r="J163" s="35">
        <f>+J153</f>
        <v>792224</v>
      </c>
      <c r="K163" s="35">
        <f>+K153</f>
        <v>12694302</v>
      </c>
    </row>
    <row r="164" spans="1:11" x14ac:dyDescent="0.25">
      <c r="A164" s="62" t="s">
        <v>809</v>
      </c>
      <c r="B164" s="8"/>
      <c r="C164" s="8">
        <v>11083</v>
      </c>
      <c r="D164" s="16"/>
      <c r="E164" s="16"/>
      <c r="F164" s="8"/>
      <c r="G164" s="16"/>
      <c r="H164" s="8"/>
      <c r="I164" s="16"/>
      <c r="J164" s="60">
        <f t="shared" ref="J164:J169" si="39">SUM(C164:I164)</f>
        <v>11083</v>
      </c>
      <c r="K164" s="9">
        <f>K163+J164</f>
        <v>12705385</v>
      </c>
    </row>
    <row r="165" spans="1:11" x14ac:dyDescent="0.25">
      <c r="A165" s="69" t="s">
        <v>818</v>
      </c>
      <c r="B165" s="64"/>
      <c r="C165" s="64">
        <v>43658</v>
      </c>
      <c r="D165" s="64"/>
      <c r="E165" s="64"/>
      <c r="F165" s="64"/>
      <c r="G165" s="70"/>
      <c r="H165" s="64"/>
      <c r="I165" s="70"/>
      <c r="J165" s="71">
        <f t="shared" si="39"/>
        <v>43658</v>
      </c>
      <c r="K165" s="9">
        <f t="shared" ref="K165:K177" si="40">K164+J165</f>
        <v>12749043</v>
      </c>
    </row>
    <row r="166" spans="1:11" x14ac:dyDescent="0.25">
      <c r="A166" s="200" t="s">
        <v>819</v>
      </c>
      <c r="B166" s="8"/>
      <c r="C166" s="8"/>
      <c r="D166" s="8">
        <v>86329</v>
      </c>
      <c r="E166" s="8"/>
      <c r="F166" s="8"/>
      <c r="G166" s="8"/>
      <c r="H166" s="8"/>
      <c r="I166" s="8"/>
      <c r="J166" s="71">
        <f t="shared" si="39"/>
        <v>86329</v>
      </c>
      <c r="K166" s="9">
        <f t="shared" si="40"/>
        <v>12835372</v>
      </c>
    </row>
    <row r="167" spans="1:11" x14ac:dyDescent="0.25">
      <c r="A167" s="145" t="s">
        <v>837</v>
      </c>
      <c r="B167" s="81"/>
      <c r="C167" s="81">
        <v>115472</v>
      </c>
      <c r="D167" s="80"/>
      <c r="E167" s="81"/>
      <c r="F167" s="81"/>
      <c r="G167" s="81"/>
      <c r="H167" s="81"/>
      <c r="I167" s="80"/>
      <c r="J167" s="71">
        <f t="shared" si="39"/>
        <v>115472</v>
      </c>
      <c r="K167" s="9">
        <f t="shared" si="40"/>
        <v>12950844</v>
      </c>
    </row>
    <row r="168" spans="1:11" x14ac:dyDescent="0.25">
      <c r="A168" s="145" t="s">
        <v>838</v>
      </c>
      <c r="B168" s="8"/>
      <c r="C168" s="8">
        <v>115472</v>
      </c>
      <c r="D168" s="16"/>
      <c r="E168" s="16"/>
      <c r="F168" s="16"/>
      <c r="G168" s="8"/>
      <c r="H168" s="16"/>
      <c r="I168" s="16"/>
      <c r="J168" s="60">
        <f t="shared" si="39"/>
        <v>115472</v>
      </c>
      <c r="K168" s="9">
        <f t="shared" si="40"/>
        <v>13066316</v>
      </c>
    </row>
    <row r="169" spans="1:11" x14ac:dyDescent="0.25">
      <c r="A169" s="69" t="s">
        <v>839</v>
      </c>
      <c r="B169" s="64"/>
      <c r="C169" s="64">
        <v>115472</v>
      </c>
      <c r="D169" s="64"/>
      <c r="E169" s="64"/>
      <c r="F169" s="64"/>
      <c r="G169" s="64"/>
      <c r="H169" s="64"/>
      <c r="I169" s="64"/>
      <c r="J169" s="71">
        <f t="shared" si="39"/>
        <v>115472</v>
      </c>
      <c r="K169" s="9">
        <f t="shared" si="40"/>
        <v>13181788</v>
      </c>
    </row>
    <row r="170" spans="1:11" x14ac:dyDescent="0.25">
      <c r="A170" s="200" t="s">
        <v>847</v>
      </c>
      <c r="B170" s="8"/>
      <c r="C170" s="8">
        <v>115472</v>
      </c>
      <c r="D170" s="8"/>
      <c r="E170" s="8"/>
      <c r="F170" s="8"/>
      <c r="G170" s="8"/>
      <c r="H170" s="8"/>
      <c r="I170" s="8"/>
      <c r="J170" s="60">
        <f>SUM(B170:I170)</f>
        <v>115472</v>
      </c>
      <c r="K170" s="9">
        <f t="shared" si="40"/>
        <v>13297260</v>
      </c>
    </row>
    <row r="171" spans="1:11" x14ac:dyDescent="0.25">
      <c r="A171" s="200" t="s">
        <v>848</v>
      </c>
      <c r="B171" s="64"/>
      <c r="C171" s="64">
        <v>115472</v>
      </c>
      <c r="D171" s="64"/>
      <c r="E171" s="64"/>
      <c r="F171" s="64"/>
      <c r="G171" s="64"/>
      <c r="H171" s="64"/>
      <c r="I171" s="64"/>
      <c r="J171" s="71">
        <f>SUM(B171:I171)</f>
        <v>115472</v>
      </c>
      <c r="K171" s="9">
        <f t="shared" si="40"/>
        <v>13412732</v>
      </c>
    </row>
    <row r="172" spans="1:11" x14ac:dyDescent="0.25">
      <c r="A172" s="69" t="s">
        <v>849</v>
      </c>
      <c r="B172" s="64"/>
      <c r="C172" s="64">
        <v>107432</v>
      </c>
      <c r="D172" s="64"/>
      <c r="E172" s="64"/>
      <c r="F172" s="64"/>
      <c r="G172" s="64"/>
      <c r="H172" s="64"/>
      <c r="I172" s="64"/>
      <c r="J172" s="71">
        <f>SUM(B172:I172)</f>
        <v>107432</v>
      </c>
      <c r="K172" s="9">
        <f t="shared" si="40"/>
        <v>13520164</v>
      </c>
    </row>
    <row r="173" spans="1:11" x14ac:dyDescent="0.25">
      <c r="A173" s="69" t="s">
        <v>850</v>
      </c>
      <c r="B173" s="64"/>
      <c r="C173" s="64">
        <v>107432</v>
      </c>
      <c r="D173" s="70"/>
      <c r="E173" s="64"/>
      <c r="F173" s="64"/>
      <c r="G173" s="70"/>
      <c r="H173" s="70"/>
      <c r="I173" s="70"/>
      <c r="J173" s="71">
        <f>SUM(B173:I173)</f>
        <v>107432</v>
      </c>
      <c r="K173" s="9">
        <f t="shared" si="40"/>
        <v>13627596</v>
      </c>
    </row>
    <row r="174" spans="1:11" x14ac:dyDescent="0.25">
      <c r="A174" s="200" t="s">
        <v>857</v>
      </c>
      <c r="B174" s="16"/>
      <c r="C174" s="8">
        <v>11083</v>
      </c>
      <c r="D174" s="16"/>
      <c r="E174" s="16"/>
      <c r="F174" s="16"/>
      <c r="G174" s="8"/>
      <c r="H174" s="16"/>
      <c r="I174" s="16"/>
      <c r="J174" s="71">
        <f>SUM(B174:I174)</f>
        <v>11083</v>
      </c>
      <c r="K174" s="9">
        <f t="shared" si="40"/>
        <v>13638679</v>
      </c>
    </row>
    <row r="175" spans="1:11" x14ac:dyDescent="0.25">
      <c r="A175" s="200" t="s">
        <v>864</v>
      </c>
      <c r="B175" s="8"/>
      <c r="C175" s="8">
        <v>43658</v>
      </c>
      <c r="D175" s="16"/>
      <c r="E175" s="16"/>
      <c r="F175" s="8"/>
      <c r="G175" s="16"/>
      <c r="H175" s="16"/>
      <c r="I175" s="16"/>
      <c r="J175" s="60">
        <f t="shared" ref="J175:J179" si="41">SUM(C175:I175)</f>
        <v>43658</v>
      </c>
      <c r="K175" s="9">
        <f t="shared" si="40"/>
        <v>13682337</v>
      </c>
    </row>
    <row r="176" spans="1:11" x14ac:dyDescent="0.25">
      <c r="A176" s="200" t="s">
        <v>871</v>
      </c>
      <c r="B176" s="8"/>
      <c r="C176" s="8"/>
      <c r="D176" s="8">
        <v>86329</v>
      </c>
      <c r="E176" s="16"/>
      <c r="F176" s="8"/>
      <c r="G176" s="16"/>
      <c r="H176" s="16"/>
      <c r="I176" s="16"/>
      <c r="J176" s="60">
        <f t="shared" si="41"/>
        <v>86329</v>
      </c>
      <c r="K176" s="9">
        <f t="shared" si="40"/>
        <v>13768666</v>
      </c>
    </row>
    <row r="177" spans="1:11" x14ac:dyDescent="0.25">
      <c r="A177" s="200" t="s">
        <v>878</v>
      </c>
      <c r="B177" s="8"/>
      <c r="C177" s="8"/>
      <c r="D177" s="16"/>
      <c r="E177" s="8">
        <v>82200</v>
      </c>
      <c r="F177" s="8"/>
      <c r="G177" s="16"/>
      <c r="H177" s="16"/>
      <c r="I177" s="16"/>
      <c r="J177" s="60">
        <f t="shared" si="41"/>
        <v>82200</v>
      </c>
      <c r="K177" s="9">
        <f t="shared" si="40"/>
        <v>13850866</v>
      </c>
    </row>
    <row r="178" spans="1:11" x14ac:dyDescent="0.25">
      <c r="A178" s="200" t="s">
        <v>891</v>
      </c>
      <c r="B178" s="8"/>
      <c r="C178" s="8"/>
      <c r="D178" s="8"/>
      <c r="E178" s="8"/>
      <c r="F178" s="8">
        <v>300000</v>
      </c>
      <c r="G178" s="16"/>
      <c r="H178" s="16"/>
      <c r="I178" s="16"/>
      <c r="J178" s="60">
        <f t="shared" si="41"/>
        <v>300000</v>
      </c>
      <c r="K178" s="8">
        <f>+K177+J178</f>
        <v>14150866</v>
      </c>
    </row>
    <row r="179" spans="1:11" ht="15.75" thickBot="1" x14ac:dyDescent="0.3">
      <c r="A179" s="464" t="s">
        <v>871</v>
      </c>
      <c r="B179" s="194"/>
      <c r="C179" s="194"/>
      <c r="D179" s="194">
        <v>-86329</v>
      </c>
      <c r="E179" s="194"/>
      <c r="F179" s="194"/>
      <c r="G179" s="425"/>
      <c r="H179" s="199"/>
      <c r="I179" s="199"/>
      <c r="J179" s="551">
        <f t="shared" si="41"/>
        <v>-86329</v>
      </c>
      <c r="K179" s="10">
        <f>+K178+J179</f>
        <v>14064537</v>
      </c>
    </row>
    <row r="180" spans="1:11" x14ac:dyDescent="0.25">
      <c r="A180" s="265" t="s">
        <v>74</v>
      </c>
      <c r="B180" s="80"/>
      <c r="C180" s="80">
        <f t="shared" ref="C180:I180" si="42">SUM(C163:C179)</f>
        <v>10241636</v>
      </c>
      <c r="D180" s="80">
        <f t="shared" si="42"/>
        <v>1032212</v>
      </c>
      <c r="E180" s="35">
        <f t="shared" si="42"/>
        <v>540700</v>
      </c>
      <c r="F180" s="35">
        <f t="shared" si="42"/>
        <v>700000</v>
      </c>
      <c r="G180" s="35">
        <f t="shared" si="42"/>
        <v>1349989</v>
      </c>
      <c r="H180" s="80">
        <f t="shared" si="42"/>
        <v>200000</v>
      </c>
      <c r="I180" s="80">
        <f t="shared" si="42"/>
        <v>0</v>
      </c>
      <c r="J180" s="84">
        <f>SUM(J170:J179)</f>
        <v>882749</v>
      </c>
      <c r="K180" s="80">
        <f>+K179</f>
        <v>14064537</v>
      </c>
    </row>
    <row r="181" spans="1:11" x14ac:dyDescent="0.25">
      <c r="A181" s="340" t="s">
        <v>921</v>
      </c>
      <c r="B181" s="80"/>
      <c r="C181" s="80"/>
      <c r="D181" s="80"/>
      <c r="E181" s="485"/>
      <c r="F181" s="16"/>
      <c r="G181" s="137">
        <v>64074</v>
      </c>
      <c r="H181" s="80"/>
      <c r="I181" s="80"/>
      <c r="J181" s="84">
        <f>SUM(C181:I181)</f>
        <v>64074</v>
      </c>
      <c r="K181" s="81">
        <f>+K180+J181</f>
        <v>14128611</v>
      </c>
    </row>
    <row r="182" spans="1:11" x14ac:dyDescent="0.25">
      <c r="A182" s="265"/>
      <c r="B182" s="80"/>
      <c r="C182" s="80"/>
      <c r="D182" s="80"/>
      <c r="E182" s="80"/>
      <c r="F182" s="80"/>
      <c r="G182" s="80"/>
      <c r="H182" s="80"/>
      <c r="I182" s="80"/>
      <c r="J182" s="84"/>
      <c r="K182" s="81">
        <f>+K181+J182</f>
        <v>14128611</v>
      </c>
    </row>
    <row r="183" spans="1:11" x14ac:dyDescent="0.25">
      <c r="A183" s="200"/>
      <c r="B183" s="178"/>
      <c r="C183" s="8"/>
      <c r="D183" s="8"/>
      <c r="E183" s="8"/>
      <c r="F183" s="8"/>
      <c r="G183" s="8"/>
      <c r="H183" s="8"/>
      <c r="I183" s="8"/>
      <c r="J183" s="60">
        <f>SUM(C183:I183)</f>
        <v>0</v>
      </c>
      <c r="K183" s="81">
        <f t="shared" ref="K183:K184" si="43">+K182+J183</f>
        <v>14128611</v>
      </c>
    </row>
    <row r="184" spans="1:11" ht="15.75" thickBot="1" x14ac:dyDescent="0.3">
      <c r="A184" s="226"/>
      <c r="B184" s="345"/>
      <c r="C184" s="78"/>
      <c r="D184" s="78"/>
      <c r="E184" s="124"/>
      <c r="F184" s="124"/>
      <c r="G184" s="124"/>
      <c r="H184" s="124"/>
      <c r="I184" s="124"/>
      <c r="J184" s="379">
        <f>SUM(C184:I184)</f>
        <v>0</v>
      </c>
      <c r="K184" s="81">
        <f t="shared" si="43"/>
        <v>14128611</v>
      </c>
    </row>
    <row r="185" spans="1:11" ht="15.75" thickBot="1" x14ac:dyDescent="0.3">
      <c r="A185" s="164" t="s">
        <v>61</v>
      </c>
      <c r="B185" s="83" t="s">
        <v>914</v>
      </c>
      <c r="C185" s="83">
        <f t="shared" ref="C185:I185" si="44">SUM(C180:C184)</f>
        <v>10241636</v>
      </c>
      <c r="D185" s="83">
        <f t="shared" si="44"/>
        <v>1032212</v>
      </c>
      <c r="E185" s="83">
        <f t="shared" si="44"/>
        <v>540700</v>
      </c>
      <c r="F185" s="83">
        <f t="shared" si="44"/>
        <v>700000</v>
      </c>
      <c r="G185" s="83">
        <f t="shared" si="44"/>
        <v>1414063</v>
      </c>
      <c r="H185" s="83">
        <f t="shared" si="44"/>
        <v>200000</v>
      </c>
      <c r="I185" s="83">
        <f t="shared" si="44"/>
        <v>0</v>
      </c>
      <c r="J185" s="83">
        <f>SUM(J181:J184)</f>
        <v>64074</v>
      </c>
      <c r="K185" s="149">
        <f>+K184</f>
        <v>14128611</v>
      </c>
    </row>
    <row r="186" spans="1:11" x14ac:dyDescent="0.25">
      <c r="A186" t="s">
        <v>5</v>
      </c>
    </row>
    <row r="187" spans="1:11" ht="15.75" thickBot="1" x14ac:dyDescent="0.3"/>
    <row r="188" spans="1:11" ht="15.75" thickBot="1" x14ac:dyDescent="0.3">
      <c r="A188" s="325" t="s">
        <v>67</v>
      </c>
      <c r="B188" s="325"/>
      <c r="C188" s="326">
        <f t="shared" ref="C188:I188" si="45">C11-C185</f>
        <v>6364</v>
      </c>
      <c r="D188" s="389">
        <f t="shared" si="45"/>
        <v>70788</v>
      </c>
      <c r="E188" s="326">
        <f t="shared" si="45"/>
        <v>59300</v>
      </c>
      <c r="F188" s="326">
        <f t="shared" si="45"/>
        <v>0</v>
      </c>
      <c r="G188" s="326">
        <f t="shared" si="45"/>
        <v>85937</v>
      </c>
      <c r="H188" s="326">
        <f t="shared" si="45"/>
        <v>0</v>
      </c>
      <c r="I188" s="326">
        <f t="shared" si="45"/>
        <v>1000000</v>
      </c>
      <c r="J188" s="326"/>
      <c r="K188" s="326">
        <f>K11-K185</f>
        <v>1222389</v>
      </c>
    </row>
  </sheetData>
  <pageMargins left="0.7" right="0.531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9"/>
  <sheetViews>
    <sheetView workbookViewId="0">
      <selection activeCell="H13" sqref="H13"/>
    </sheetView>
  </sheetViews>
  <sheetFormatPr baseColWidth="10" defaultColWidth="11.42578125" defaultRowHeight="15" x14ac:dyDescent="0.25"/>
  <cols>
    <col min="2" max="2" width="11.140625" customWidth="1"/>
    <col min="3" max="3" width="11.5703125" customWidth="1"/>
    <col min="4" max="4" width="10.7109375" customWidth="1"/>
    <col min="5" max="5" width="11.140625" customWidth="1"/>
    <col min="11" max="11" width="11.71093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6006</v>
      </c>
      <c r="I3" t="s">
        <v>75</v>
      </c>
    </row>
    <row r="4" spans="1:11" x14ac:dyDescent="0.25">
      <c r="E4" t="s">
        <v>6</v>
      </c>
      <c r="F4" s="13" t="s">
        <v>28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/>
      <c r="E6" s="41"/>
      <c r="F6" s="41"/>
      <c r="G6" s="45">
        <v>7</v>
      </c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>
        <v>3332000</v>
      </c>
      <c r="D7" s="26"/>
      <c r="E7" s="26"/>
      <c r="F7" s="26"/>
      <c r="G7" s="26"/>
      <c r="H7" s="26"/>
      <c r="I7" s="26"/>
      <c r="J7" s="28">
        <f>SUM(B7:I7)</f>
        <v>3332000</v>
      </c>
      <c r="K7" s="29">
        <f>J7</f>
        <v>3332000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3332000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3332000</v>
      </c>
      <c r="K11" s="23">
        <f>K10+J11</f>
        <v>3332000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249" t="s">
        <v>931</v>
      </c>
      <c r="B13" s="57"/>
      <c r="C13" s="57">
        <v>1245295</v>
      </c>
      <c r="D13" s="57"/>
      <c r="E13" s="57"/>
      <c r="F13" s="57"/>
      <c r="G13" s="57"/>
      <c r="H13" s="57"/>
      <c r="I13" s="57"/>
      <c r="J13" s="59">
        <f>SUM(B13:I13)</f>
        <v>1245295</v>
      </c>
      <c r="K13" s="67">
        <f>J13</f>
        <v>1245295</v>
      </c>
    </row>
    <row r="14" spans="1:11" x14ac:dyDescent="0.25">
      <c r="A14" s="18"/>
      <c r="B14" s="8"/>
      <c r="C14" s="8">
        <v>469422</v>
      </c>
      <c r="D14" s="8"/>
      <c r="E14" s="8"/>
      <c r="F14" s="8"/>
      <c r="G14" s="8"/>
      <c r="H14" s="8"/>
      <c r="I14" s="8"/>
      <c r="J14" s="8">
        <f>SUM(B14:I14)</f>
        <v>469422</v>
      </c>
      <c r="K14" s="8">
        <f>K13+J14</f>
        <v>1714717</v>
      </c>
    </row>
    <row r="15" spans="1:11" x14ac:dyDescent="0.25">
      <c r="A15" s="355"/>
      <c r="B15" s="64"/>
      <c r="C15" s="64">
        <v>1044630</v>
      </c>
      <c r="D15" s="64"/>
      <c r="E15" s="64"/>
      <c r="F15" s="64"/>
      <c r="G15" s="64"/>
      <c r="H15" s="64"/>
      <c r="I15" s="64"/>
      <c r="J15" s="8">
        <f t="shared" ref="J15:J16" si="1">SUM(B15:I15)</f>
        <v>1044630</v>
      </c>
      <c r="K15" s="8">
        <f t="shared" ref="K15:K16" si="2">K14+J15</f>
        <v>2759347</v>
      </c>
    </row>
    <row r="16" spans="1:11" ht="15.75" thickBot="1" x14ac:dyDescent="0.3">
      <c r="A16" s="378"/>
      <c r="B16" s="64"/>
      <c r="C16" s="64">
        <v>572562</v>
      </c>
      <c r="D16" s="64"/>
      <c r="E16" s="64"/>
      <c r="F16" s="64"/>
      <c r="G16" s="64"/>
      <c r="H16" s="64"/>
      <c r="I16" s="64"/>
      <c r="J16" s="81">
        <f t="shared" si="1"/>
        <v>572562</v>
      </c>
      <c r="K16" s="8">
        <f t="shared" si="2"/>
        <v>3331909</v>
      </c>
    </row>
    <row r="17" spans="1:11" ht="15.75" thickBot="1" x14ac:dyDescent="0.3">
      <c r="A17" s="353" t="s">
        <v>914</v>
      </c>
      <c r="B17" s="83"/>
      <c r="C17" s="83">
        <f t="shared" ref="C17:J17" si="3">SUM(C13:C16)</f>
        <v>3331909</v>
      </c>
      <c r="D17" s="83">
        <f t="shared" si="3"/>
        <v>0</v>
      </c>
      <c r="E17" s="83">
        <f t="shared" si="3"/>
        <v>0</v>
      </c>
      <c r="F17" s="83">
        <f t="shared" si="3"/>
        <v>0</v>
      </c>
      <c r="G17" s="83">
        <f t="shared" si="3"/>
        <v>0</v>
      </c>
      <c r="H17" s="83">
        <f t="shared" si="3"/>
        <v>0</v>
      </c>
      <c r="I17" s="83">
        <f t="shared" si="3"/>
        <v>0</v>
      </c>
      <c r="J17" s="83">
        <f t="shared" si="3"/>
        <v>3331909</v>
      </c>
      <c r="K17" s="149">
        <f>SUM(K16)</f>
        <v>3331909</v>
      </c>
    </row>
    <row r="18" spans="1:11" x14ac:dyDescent="0.25">
      <c r="A18" s="151"/>
      <c r="B18" s="80"/>
      <c r="C18" s="80"/>
      <c r="D18" s="80"/>
      <c r="E18" s="80"/>
      <c r="F18" s="80"/>
      <c r="G18" s="80"/>
      <c r="H18" s="80"/>
      <c r="I18" s="80"/>
      <c r="J18" s="81"/>
      <c r="K18" s="100"/>
    </row>
    <row r="19" spans="1:11" x14ac:dyDescent="0.25">
      <c r="A19" s="17"/>
      <c r="B19" s="16"/>
      <c r="C19" s="16"/>
      <c r="D19" s="16"/>
      <c r="E19" s="16"/>
      <c r="F19" s="16"/>
      <c r="G19" s="16"/>
      <c r="H19" s="16"/>
      <c r="I19" s="16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8"/>
      <c r="B21" s="16"/>
      <c r="C21" s="8"/>
      <c r="D21" s="8"/>
      <c r="E21" s="8"/>
      <c r="F21" s="8"/>
      <c r="G21" s="8"/>
      <c r="H21" s="8"/>
      <c r="I21" s="8"/>
      <c r="J21" s="8"/>
      <c r="K21" s="9"/>
    </row>
    <row r="22" spans="1:11" x14ac:dyDescent="0.25">
      <c r="A22" s="1"/>
      <c r="B22" s="8"/>
      <c r="C22" s="8"/>
      <c r="D22" s="8"/>
      <c r="E22" s="16"/>
      <c r="F22" s="8"/>
      <c r="G22" s="8"/>
      <c r="H22" s="8"/>
      <c r="I22" s="8"/>
      <c r="J22" s="8"/>
      <c r="K22" s="9"/>
    </row>
    <row r="23" spans="1:11" x14ac:dyDescent="0.25">
      <c r="A23" s="17"/>
      <c r="B23" s="16"/>
      <c r="C23" s="16"/>
      <c r="D23" s="16"/>
      <c r="E23" s="8"/>
      <c r="F23" s="16"/>
      <c r="G23" s="16"/>
      <c r="H23" s="16"/>
      <c r="I23" s="16"/>
      <c r="J23" s="8"/>
      <c r="K23" s="9"/>
    </row>
    <row r="24" spans="1:11" x14ac:dyDescent="0.25">
      <c r="A24" s="1"/>
      <c r="B24" s="8"/>
      <c r="C24" s="8"/>
      <c r="D24" s="8"/>
      <c r="E24" s="16"/>
      <c r="F24" s="8"/>
      <c r="G24" s="8"/>
      <c r="H24" s="8"/>
      <c r="I24" s="8"/>
      <c r="J24" s="8"/>
      <c r="K24" s="9"/>
    </row>
    <row r="25" spans="1:11" ht="23.25" customHeight="1" thickBot="1" x14ac:dyDescent="0.3">
      <c r="A25" s="2"/>
      <c r="B25" s="3"/>
      <c r="C25" s="3"/>
      <c r="D25" s="3"/>
      <c r="E25" s="3"/>
      <c r="F25" s="3"/>
      <c r="G25" s="3"/>
      <c r="H25" s="3"/>
      <c r="I25" s="3"/>
      <c r="J25" s="10"/>
      <c r="K25" s="11"/>
    </row>
    <row r="26" spans="1:11" ht="15.75" thickBot="1" x14ac:dyDescent="0.3">
      <c r="A26" s="36" t="s">
        <v>0</v>
      </c>
      <c r="B26" s="15">
        <v>0</v>
      </c>
      <c r="C26" s="15"/>
      <c r="D26" s="37">
        <v>0</v>
      </c>
      <c r="E26" s="41"/>
      <c r="F26" s="38">
        <v>0</v>
      </c>
      <c r="G26" s="15">
        <v>0</v>
      </c>
      <c r="H26" s="15">
        <v>0</v>
      </c>
      <c r="I26" s="15">
        <v>0</v>
      </c>
      <c r="J26" s="15"/>
      <c r="K26" s="14"/>
    </row>
    <row r="27" spans="1:11" x14ac:dyDescent="0.25">
      <c r="A27" t="s">
        <v>5</v>
      </c>
    </row>
    <row r="29" spans="1:11" x14ac:dyDescent="0.25">
      <c r="A29" s="98"/>
      <c r="B29" s="98"/>
      <c r="C29" s="327">
        <f t="shared" ref="C29:I29" si="4">C11-C17</f>
        <v>91</v>
      </c>
      <c r="D29" s="327">
        <f t="shared" si="4"/>
        <v>0</v>
      </c>
      <c r="E29" s="327">
        <f t="shared" si="4"/>
        <v>0</v>
      </c>
      <c r="F29" s="327">
        <f t="shared" si="4"/>
        <v>0</v>
      </c>
      <c r="G29" s="327">
        <f t="shared" si="4"/>
        <v>0</v>
      </c>
      <c r="H29" s="327">
        <f t="shared" si="4"/>
        <v>0</v>
      </c>
      <c r="I29" s="327">
        <f t="shared" si="4"/>
        <v>0</v>
      </c>
      <c r="J29" s="98"/>
      <c r="K29" s="98"/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46"/>
  <sheetViews>
    <sheetView view="pageLayout" topLeftCell="A329" zoomScaleNormal="100" workbookViewId="0">
      <selection activeCell="E336" sqref="E336"/>
    </sheetView>
  </sheetViews>
  <sheetFormatPr baseColWidth="10" defaultColWidth="11.42578125" defaultRowHeight="15" x14ac:dyDescent="0.25"/>
  <cols>
    <col min="1" max="1" width="12" customWidth="1"/>
    <col min="2" max="2" width="10.42578125" customWidth="1"/>
    <col min="3" max="3" width="13.7109375" customWidth="1"/>
    <col min="4" max="4" width="12.28515625" customWidth="1"/>
    <col min="5" max="5" width="12" customWidth="1"/>
    <col min="6" max="7" width="12.7109375" customWidth="1"/>
    <col min="8" max="8" width="6.85546875" customWidth="1"/>
    <col min="9" max="9" width="11" customWidth="1"/>
    <col min="10" max="11" width="13.5703125" customWidth="1"/>
    <col min="12" max="12" width="12.85546875" customWidth="1"/>
    <col min="13" max="13" width="12.7109375" customWidth="1"/>
  </cols>
  <sheetData>
    <row r="1" spans="1:11" x14ac:dyDescent="0.25">
      <c r="A1" t="s">
        <v>9</v>
      </c>
      <c r="E1" t="s">
        <v>50</v>
      </c>
      <c r="I1" t="s">
        <v>14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6010</v>
      </c>
      <c r="I3" t="s">
        <v>75</v>
      </c>
    </row>
    <row r="4" spans="1:11" x14ac:dyDescent="0.25">
      <c r="E4" t="s">
        <v>6</v>
      </c>
      <c r="F4" s="13" t="s">
        <v>7</v>
      </c>
    </row>
    <row r="5" spans="1:11" ht="15.75" thickBot="1" x14ac:dyDescent="0.3"/>
    <row r="6" spans="1:11" ht="30.75" customHeight="1" thickBot="1" x14ac:dyDescent="0.3">
      <c r="A6" s="39" t="s">
        <v>1</v>
      </c>
      <c r="B6" s="98"/>
      <c r="C6" s="45">
        <v>1</v>
      </c>
      <c r="D6" s="45">
        <v>2</v>
      </c>
      <c r="E6" s="45">
        <v>3</v>
      </c>
      <c r="F6" s="45">
        <v>4</v>
      </c>
      <c r="G6" s="45">
        <v>5</v>
      </c>
      <c r="H6" s="45"/>
      <c r="I6" s="45">
        <v>7</v>
      </c>
      <c r="J6" s="43" t="s">
        <v>16</v>
      </c>
      <c r="K6" s="40" t="s">
        <v>17</v>
      </c>
    </row>
    <row r="7" spans="1:11" ht="26.25" x14ac:dyDescent="0.25">
      <c r="A7" s="305" t="s">
        <v>18</v>
      </c>
      <c r="B7" s="98"/>
      <c r="C7" s="101">
        <v>25664000</v>
      </c>
      <c r="D7" s="102">
        <v>2751000</v>
      </c>
      <c r="E7" s="102">
        <v>1500000</v>
      </c>
      <c r="F7" s="102">
        <v>1200000</v>
      </c>
      <c r="G7" s="102">
        <v>7500000</v>
      </c>
      <c r="H7" s="102"/>
      <c r="I7" s="102">
        <v>200000</v>
      </c>
      <c r="J7" s="103">
        <f>SUM(C7:I7)</f>
        <v>38815000</v>
      </c>
      <c r="K7" s="104">
        <f>J7</f>
        <v>38815000</v>
      </c>
    </row>
    <row r="8" spans="1:11" ht="39" x14ac:dyDescent="0.25">
      <c r="A8" s="306" t="s">
        <v>19</v>
      </c>
      <c r="B8" s="98"/>
      <c r="C8" s="143"/>
      <c r="D8" s="111"/>
      <c r="E8" s="112"/>
      <c r="F8" s="111"/>
      <c r="G8" s="111"/>
      <c r="H8" s="111"/>
      <c r="I8" s="111"/>
      <c r="J8" s="112">
        <f>SUM(C8:I8)</f>
        <v>0</v>
      </c>
      <c r="K8" s="107"/>
    </row>
    <row r="9" spans="1:11" x14ac:dyDescent="0.25">
      <c r="A9" s="307" t="s">
        <v>2</v>
      </c>
      <c r="B9" s="98"/>
      <c r="C9" s="144"/>
      <c r="D9" s="113"/>
      <c r="E9" s="113"/>
      <c r="F9" s="113"/>
      <c r="G9" s="113"/>
      <c r="H9" s="113"/>
      <c r="I9" s="113"/>
      <c r="J9" s="113">
        <v>0</v>
      </c>
      <c r="K9" s="107">
        <f>K8+J9</f>
        <v>0</v>
      </c>
    </row>
    <row r="10" spans="1:11" x14ac:dyDescent="0.25">
      <c r="A10" s="307" t="s">
        <v>3</v>
      </c>
      <c r="B10" s="98"/>
      <c r="C10" s="144"/>
      <c r="D10" s="113"/>
      <c r="E10" s="113"/>
      <c r="F10" s="113"/>
      <c r="G10" s="113"/>
      <c r="H10" s="113"/>
      <c r="I10" s="113"/>
      <c r="J10" s="113">
        <v>0</v>
      </c>
      <c r="K10" s="107">
        <f>K9+J10</f>
        <v>0</v>
      </c>
    </row>
    <row r="11" spans="1:11" ht="27" thickBot="1" x14ac:dyDescent="0.3">
      <c r="A11" s="308" t="s">
        <v>20</v>
      </c>
      <c r="B11" s="98"/>
      <c r="C11" s="105">
        <f t="shared" ref="C11:I11" si="0">SUM(C7:C10)</f>
        <v>25664000</v>
      </c>
      <c r="D11" s="106">
        <f t="shared" si="0"/>
        <v>2751000</v>
      </c>
      <c r="E11" s="106">
        <f t="shared" si="0"/>
        <v>1500000</v>
      </c>
      <c r="F11" s="106">
        <f t="shared" si="0"/>
        <v>1200000</v>
      </c>
      <c r="G11" s="106">
        <f t="shared" si="0"/>
        <v>7500000</v>
      </c>
      <c r="H11" s="106">
        <f t="shared" si="0"/>
        <v>0</v>
      </c>
      <c r="I11" s="106">
        <f t="shared" si="0"/>
        <v>200000</v>
      </c>
      <c r="J11" s="106">
        <f>SUM(J7:J10)</f>
        <v>38815000</v>
      </c>
      <c r="K11" s="107">
        <f>K10+J11</f>
        <v>38815000</v>
      </c>
    </row>
    <row r="12" spans="1:11" ht="27" thickBot="1" x14ac:dyDescent="0.3">
      <c r="A12" s="46" t="s">
        <v>21</v>
      </c>
      <c r="B12" s="98"/>
      <c r="C12" s="47"/>
      <c r="D12" s="4"/>
      <c r="E12" s="4"/>
      <c r="F12" s="4"/>
      <c r="G12" s="34" t="s">
        <v>4</v>
      </c>
      <c r="H12" s="4"/>
      <c r="I12" s="4"/>
      <c r="J12" s="4"/>
      <c r="K12" s="5"/>
    </row>
    <row r="13" spans="1:11" x14ac:dyDescent="0.25">
      <c r="A13" s="309" t="s">
        <v>77</v>
      </c>
      <c r="B13" s="98"/>
      <c r="C13" s="423">
        <v>5000</v>
      </c>
      <c r="D13" s="57"/>
      <c r="E13" s="57"/>
      <c r="F13" s="57"/>
      <c r="G13" s="57"/>
      <c r="H13" s="57"/>
      <c r="I13" s="57"/>
      <c r="J13" s="57">
        <f>SUM(C13:I13)</f>
        <v>5000</v>
      </c>
      <c r="K13" s="58">
        <f>+J13</f>
        <v>5000</v>
      </c>
    </row>
    <row r="14" spans="1:11" x14ac:dyDescent="0.25">
      <c r="A14" s="310" t="s">
        <v>93</v>
      </c>
      <c r="B14" s="98"/>
      <c r="C14" s="418">
        <v>90708</v>
      </c>
      <c r="D14" s="16"/>
      <c r="E14" s="16"/>
      <c r="F14" s="16"/>
      <c r="G14" s="16"/>
      <c r="H14" s="16"/>
      <c r="I14" s="16"/>
      <c r="J14" s="8">
        <f>SUM(C14:I14)</f>
        <v>90708</v>
      </c>
      <c r="K14" s="9">
        <f>+K13+J14</f>
        <v>95708</v>
      </c>
    </row>
    <row r="15" spans="1:11" x14ac:dyDescent="0.25">
      <c r="A15" s="397" t="s">
        <v>94</v>
      </c>
      <c r="B15" s="202"/>
      <c r="C15" s="417">
        <v>90708</v>
      </c>
      <c r="D15" s="64"/>
      <c r="E15" s="64"/>
      <c r="F15" s="64"/>
      <c r="G15" s="64"/>
      <c r="H15" s="64"/>
      <c r="I15" s="64"/>
      <c r="J15" s="64">
        <f>SUM(C15:I15)</f>
        <v>90708</v>
      </c>
      <c r="K15" s="65">
        <f>+K14+J15</f>
        <v>186416</v>
      </c>
    </row>
    <row r="16" spans="1:11" x14ac:dyDescent="0.25">
      <c r="A16" s="158" t="s">
        <v>95</v>
      </c>
      <c r="B16" s="98"/>
      <c r="C16" s="418">
        <v>292124</v>
      </c>
      <c r="D16" s="16"/>
      <c r="E16" s="16"/>
      <c r="F16" s="16"/>
      <c r="G16" s="16"/>
      <c r="H16" s="16"/>
      <c r="I16" s="16"/>
      <c r="J16" s="8">
        <f t="shared" ref="J16:J23" si="1">SUM(C16:I16)</f>
        <v>292124</v>
      </c>
      <c r="K16" s="8">
        <f>+K15+J16</f>
        <v>478540</v>
      </c>
    </row>
    <row r="17" spans="1:11" x14ac:dyDescent="0.25">
      <c r="A17" s="310" t="s">
        <v>81</v>
      </c>
      <c r="B17" s="98"/>
      <c r="C17" s="418">
        <v>816372</v>
      </c>
      <c r="D17" s="16"/>
      <c r="E17" s="16"/>
      <c r="F17" s="16"/>
      <c r="G17" s="16"/>
      <c r="H17" s="16"/>
      <c r="I17" s="16"/>
      <c r="J17" s="8">
        <f t="shared" si="1"/>
        <v>816372</v>
      </c>
      <c r="K17" s="9">
        <f t="shared" ref="K17:K23" si="2">+K16+J17</f>
        <v>1294912</v>
      </c>
    </row>
    <row r="18" spans="1:11" x14ac:dyDescent="0.25">
      <c r="A18" s="310" t="s">
        <v>98</v>
      </c>
      <c r="B18" s="98"/>
      <c r="C18" s="418">
        <v>90708</v>
      </c>
      <c r="D18" s="16"/>
      <c r="E18" s="16"/>
      <c r="F18" s="8"/>
      <c r="G18" s="16"/>
      <c r="H18" s="16"/>
      <c r="I18" s="16"/>
      <c r="J18" s="8">
        <f t="shared" si="1"/>
        <v>90708</v>
      </c>
      <c r="K18" s="9">
        <f t="shared" si="2"/>
        <v>1385620</v>
      </c>
    </row>
    <row r="19" spans="1:11" x14ac:dyDescent="0.25">
      <c r="A19" s="310" t="s">
        <v>101</v>
      </c>
      <c r="B19" s="98"/>
      <c r="C19" s="418">
        <v>90708</v>
      </c>
      <c r="D19" s="121"/>
      <c r="E19" s="121"/>
      <c r="F19" s="137"/>
      <c r="G19" s="121"/>
      <c r="H19" s="121"/>
      <c r="I19" s="16"/>
      <c r="J19" s="8">
        <f t="shared" si="1"/>
        <v>90708</v>
      </c>
      <c r="K19" s="9">
        <f t="shared" si="2"/>
        <v>1476328</v>
      </c>
    </row>
    <row r="20" spans="1:11" x14ac:dyDescent="0.25">
      <c r="A20" s="311" t="s">
        <v>86</v>
      </c>
      <c r="B20" s="98"/>
      <c r="C20" s="424">
        <v>17872</v>
      </c>
      <c r="D20" s="81"/>
      <c r="E20" s="81"/>
      <c r="F20" s="8"/>
      <c r="G20" s="81"/>
      <c r="H20" s="81"/>
      <c r="I20" s="8"/>
      <c r="J20" s="8">
        <f t="shared" si="1"/>
        <v>17872</v>
      </c>
      <c r="K20" s="9">
        <f t="shared" si="2"/>
        <v>1494200</v>
      </c>
    </row>
    <row r="21" spans="1:11" x14ac:dyDescent="0.25">
      <c r="A21" s="312" t="s">
        <v>104</v>
      </c>
      <c r="B21" s="98"/>
      <c r="C21" s="418">
        <v>75120</v>
      </c>
      <c r="D21" s="8"/>
      <c r="E21" s="8"/>
      <c r="F21" s="16"/>
      <c r="G21" s="8"/>
      <c r="H21" s="8"/>
      <c r="I21" s="8"/>
      <c r="J21" s="8">
        <f t="shared" si="1"/>
        <v>75120</v>
      </c>
      <c r="K21" s="9">
        <f t="shared" si="2"/>
        <v>1569320</v>
      </c>
    </row>
    <row r="22" spans="1:11" x14ac:dyDescent="0.25">
      <c r="A22" s="311" t="s">
        <v>109</v>
      </c>
      <c r="B22" s="98"/>
      <c r="C22" s="81"/>
      <c r="D22" s="424">
        <v>173040</v>
      </c>
      <c r="E22" s="80"/>
      <c r="F22" s="81"/>
      <c r="G22" s="80"/>
      <c r="H22" s="80"/>
      <c r="I22" s="80"/>
      <c r="J22" s="81">
        <f t="shared" si="1"/>
        <v>173040</v>
      </c>
      <c r="K22" s="100">
        <f t="shared" si="2"/>
        <v>1742360</v>
      </c>
    </row>
    <row r="23" spans="1:11" ht="15.75" thickBot="1" x14ac:dyDescent="0.3">
      <c r="A23" s="397" t="s">
        <v>117</v>
      </c>
      <c r="B23" s="202"/>
      <c r="C23" s="417">
        <v>5000</v>
      </c>
      <c r="D23" s="64"/>
      <c r="E23" s="64"/>
      <c r="F23" s="70"/>
      <c r="G23" s="64"/>
      <c r="H23" s="64"/>
      <c r="I23" s="64"/>
      <c r="J23" s="64">
        <f t="shared" si="1"/>
        <v>5000</v>
      </c>
      <c r="K23" s="65">
        <f t="shared" si="2"/>
        <v>1747360</v>
      </c>
    </row>
    <row r="24" spans="1:11" ht="15.75" thickBot="1" x14ac:dyDescent="0.3">
      <c r="A24" s="39" t="s">
        <v>0</v>
      </c>
      <c r="B24" s="41"/>
      <c r="C24" s="83">
        <f>SUM(C13:C23)</f>
        <v>1574320</v>
      </c>
      <c r="D24" s="83">
        <f t="shared" ref="D24:J24" si="3">SUM(D13:D23)</f>
        <v>173040</v>
      </c>
      <c r="E24" s="83">
        <f t="shared" si="3"/>
        <v>0</v>
      </c>
      <c r="F24" s="83">
        <f t="shared" si="3"/>
        <v>0</v>
      </c>
      <c r="G24" s="83">
        <f t="shared" si="3"/>
        <v>0</v>
      </c>
      <c r="H24" s="83">
        <f t="shared" si="3"/>
        <v>0</v>
      </c>
      <c r="I24" s="83">
        <f t="shared" si="3"/>
        <v>0</v>
      </c>
      <c r="J24" s="83">
        <f t="shared" si="3"/>
        <v>1747360</v>
      </c>
      <c r="K24" s="149">
        <f>K23</f>
        <v>1747360</v>
      </c>
    </row>
    <row r="25" spans="1:11" ht="24.75" customHeight="1" x14ac:dyDescent="0.25">
      <c r="A25" t="s">
        <v>5</v>
      </c>
    </row>
    <row r="28" spans="1:11" x14ac:dyDescent="0.25">
      <c r="A28" t="s">
        <v>9</v>
      </c>
      <c r="E28" t="s">
        <v>50</v>
      </c>
      <c r="I28" t="s">
        <v>14</v>
      </c>
    </row>
    <row r="29" spans="1:11" x14ac:dyDescent="0.25">
      <c r="A29" t="s">
        <v>44</v>
      </c>
    </row>
    <row r="30" spans="1:11" x14ac:dyDescent="0.25">
      <c r="E30" t="s">
        <v>13</v>
      </c>
      <c r="F30" s="13">
        <v>6010</v>
      </c>
      <c r="I30" t="s">
        <v>75</v>
      </c>
    </row>
    <row r="31" spans="1:11" x14ac:dyDescent="0.25">
      <c r="E31" t="s">
        <v>6</v>
      </c>
      <c r="F31" s="13" t="s">
        <v>7</v>
      </c>
    </row>
    <row r="32" spans="1:11" ht="15.75" thickBot="1" x14ac:dyDescent="0.3"/>
    <row r="33" spans="1:11" ht="30.75" thickBot="1" x14ac:dyDescent="0.3">
      <c r="A33" s="75" t="s">
        <v>42</v>
      </c>
      <c r="B33" s="16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/>
      <c r="I33" s="45">
        <v>7</v>
      </c>
      <c r="J33" s="51" t="s">
        <v>16</v>
      </c>
      <c r="K33" s="139" t="s">
        <v>17</v>
      </c>
    </row>
    <row r="34" spans="1:11" x14ac:dyDescent="0.25">
      <c r="A34" s="76" t="s">
        <v>43</v>
      </c>
      <c r="B34" s="166"/>
      <c r="C34" s="35">
        <f t="shared" ref="C34:K34" si="4">C24</f>
        <v>1574320</v>
      </c>
      <c r="D34" s="35">
        <f t="shared" si="4"/>
        <v>173040</v>
      </c>
      <c r="E34" s="35">
        <f t="shared" si="4"/>
        <v>0</v>
      </c>
      <c r="F34" s="35">
        <f t="shared" si="4"/>
        <v>0</v>
      </c>
      <c r="G34" s="35">
        <f t="shared" si="4"/>
        <v>0</v>
      </c>
      <c r="H34" s="35">
        <f t="shared" si="4"/>
        <v>0</v>
      </c>
      <c r="I34" s="35">
        <f t="shared" si="4"/>
        <v>0</v>
      </c>
      <c r="J34" s="35">
        <f t="shared" si="4"/>
        <v>1747360</v>
      </c>
      <c r="K34" s="12">
        <f t="shared" si="4"/>
        <v>1747360</v>
      </c>
    </row>
    <row r="35" spans="1:11" x14ac:dyDescent="0.25">
      <c r="A35" s="403" t="s">
        <v>119</v>
      </c>
      <c r="B35" s="403"/>
      <c r="C35" s="418">
        <v>90708</v>
      </c>
      <c r="D35" s="8"/>
      <c r="E35" s="8"/>
      <c r="F35" s="8"/>
      <c r="G35" s="8"/>
      <c r="H35" s="8"/>
      <c r="I35" s="8"/>
      <c r="J35" s="16">
        <f>SUM(C35:I35)</f>
        <v>90708</v>
      </c>
      <c r="K35" s="8">
        <f>K34+J35</f>
        <v>1838068</v>
      </c>
    </row>
    <row r="36" spans="1:11" x14ac:dyDescent="0.25">
      <c r="A36" s="403" t="s">
        <v>120</v>
      </c>
      <c r="B36" s="403"/>
      <c r="C36" s="418">
        <v>90708</v>
      </c>
      <c r="D36" s="8"/>
      <c r="E36" s="8"/>
      <c r="F36" s="8"/>
      <c r="G36" s="8"/>
      <c r="H36" s="8"/>
      <c r="I36" s="8"/>
      <c r="J36" s="16">
        <f>SUM(C36:I36)</f>
        <v>90708</v>
      </c>
      <c r="K36" s="8">
        <f t="shared" ref="K36:K43" si="5">K35+J36</f>
        <v>1928776</v>
      </c>
    </row>
    <row r="37" spans="1:11" x14ac:dyDescent="0.25">
      <c r="A37" s="403" t="s">
        <v>121</v>
      </c>
      <c r="B37" s="404"/>
      <c r="C37" s="417">
        <v>292124</v>
      </c>
      <c r="D37" s="64"/>
      <c r="E37" s="64"/>
      <c r="F37" s="64"/>
      <c r="G37" s="64"/>
      <c r="H37" s="64"/>
      <c r="I37" s="64"/>
      <c r="J37" s="16">
        <f t="shared" ref="J37:J42" si="6">SUM(C37:I37)</f>
        <v>292124</v>
      </c>
      <c r="K37" s="8">
        <f t="shared" si="5"/>
        <v>2220900</v>
      </c>
    </row>
    <row r="38" spans="1:11" x14ac:dyDescent="0.25">
      <c r="A38" s="403" t="s">
        <v>123</v>
      </c>
      <c r="B38" s="404"/>
      <c r="C38" s="417">
        <v>725664</v>
      </c>
      <c r="D38" s="64"/>
      <c r="E38" s="64"/>
      <c r="F38" s="64"/>
      <c r="G38" s="64"/>
      <c r="H38" s="64"/>
      <c r="I38" s="64"/>
      <c r="J38" s="16">
        <f t="shared" si="6"/>
        <v>725664</v>
      </c>
      <c r="K38" s="8">
        <f t="shared" si="5"/>
        <v>2946564</v>
      </c>
    </row>
    <row r="39" spans="1:11" x14ac:dyDescent="0.25">
      <c r="A39" s="410" t="s">
        <v>126</v>
      </c>
      <c r="B39" s="404"/>
      <c r="C39" s="417">
        <v>90708</v>
      </c>
      <c r="D39" s="64"/>
      <c r="E39" s="64"/>
      <c r="F39" s="64"/>
      <c r="G39" s="64"/>
      <c r="H39" s="64"/>
      <c r="I39" s="64"/>
      <c r="J39" s="70">
        <f t="shared" si="6"/>
        <v>90708</v>
      </c>
      <c r="K39" s="8">
        <f t="shared" si="5"/>
        <v>3037272</v>
      </c>
    </row>
    <row r="40" spans="1:11" x14ac:dyDescent="0.25">
      <c r="A40" s="403" t="s">
        <v>130</v>
      </c>
      <c r="B40" s="404"/>
      <c r="C40" s="417">
        <v>90708</v>
      </c>
      <c r="D40" s="64"/>
      <c r="E40" s="64"/>
      <c r="F40" s="64"/>
      <c r="G40" s="64"/>
      <c r="H40" s="64"/>
      <c r="I40" s="64"/>
      <c r="J40" s="70">
        <f t="shared" si="6"/>
        <v>90708</v>
      </c>
      <c r="K40" s="8">
        <f t="shared" si="5"/>
        <v>3127980</v>
      </c>
    </row>
    <row r="41" spans="1:11" x14ac:dyDescent="0.25">
      <c r="A41" s="404" t="s">
        <v>133</v>
      </c>
      <c r="B41" s="404"/>
      <c r="C41" s="417">
        <v>16755</v>
      </c>
      <c r="D41" s="64"/>
      <c r="E41" s="64"/>
      <c r="F41" s="64"/>
      <c r="G41" s="64"/>
      <c r="H41" s="64"/>
      <c r="I41" s="64"/>
      <c r="J41" s="70">
        <f t="shared" si="6"/>
        <v>16755</v>
      </c>
      <c r="K41" s="8">
        <f t="shared" si="5"/>
        <v>3144735</v>
      </c>
    </row>
    <row r="42" spans="1:11" x14ac:dyDescent="0.25">
      <c r="A42" s="404" t="s">
        <v>157</v>
      </c>
      <c r="B42" s="404"/>
      <c r="C42" s="417">
        <v>70425</v>
      </c>
      <c r="D42" s="64"/>
      <c r="E42" s="64"/>
      <c r="F42" s="64"/>
      <c r="G42" s="64"/>
      <c r="H42" s="64"/>
      <c r="I42" s="64"/>
      <c r="J42" s="70">
        <f t="shared" si="6"/>
        <v>70425</v>
      </c>
      <c r="K42" s="8">
        <f t="shared" si="5"/>
        <v>3215160</v>
      </c>
    </row>
    <row r="43" spans="1:11" ht="15.75" thickBot="1" x14ac:dyDescent="0.3">
      <c r="A43" s="73" t="s">
        <v>160</v>
      </c>
      <c r="B43" s="192"/>
      <c r="C43" s="10"/>
      <c r="D43" s="425">
        <v>162225</v>
      </c>
      <c r="E43" s="10"/>
      <c r="F43" s="10"/>
      <c r="G43" s="10"/>
      <c r="H43" s="10"/>
      <c r="I43" s="10"/>
      <c r="J43" s="10">
        <f>SUM(C43:I43)</f>
        <v>162225</v>
      </c>
      <c r="K43" s="10">
        <f t="shared" si="5"/>
        <v>3377385</v>
      </c>
    </row>
    <row r="44" spans="1:11" x14ac:dyDescent="0.25">
      <c r="A44" s="79" t="s">
        <v>51</v>
      </c>
      <c r="B44" s="190"/>
      <c r="C44" s="80">
        <f t="shared" ref="C44:J44" si="7">SUM(C34:C43)</f>
        <v>3042120</v>
      </c>
      <c r="D44" s="80">
        <f t="shared" si="7"/>
        <v>335265</v>
      </c>
      <c r="E44" s="80">
        <f t="shared" si="7"/>
        <v>0</v>
      </c>
      <c r="F44" s="80">
        <f t="shared" si="7"/>
        <v>0</v>
      </c>
      <c r="G44" s="80">
        <f t="shared" si="7"/>
        <v>0</v>
      </c>
      <c r="H44" s="80">
        <f t="shared" si="7"/>
        <v>0</v>
      </c>
      <c r="I44" s="80">
        <f t="shared" si="7"/>
        <v>0</v>
      </c>
      <c r="J44" s="80">
        <f t="shared" si="7"/>
        <v>3377385</v>
      </c>
      <c r="K44" s="82">
        <f>+K43</f>
        <v>3377385</v>
      </c>
    </row>
    <row r="45" spans="1:11" x14ac:dyDescent="0.25">
      <c r="A45" s="61" t="s">
        <v>169</v>
      </c>
      <c r="B45" s="168"/>
      <c r="C45" s="8">
        <v>5000</v>
      </c>
      <c r="D45" s="8"/>
      <c r="E45" s="8"/>
      <c r="F45" s="16"/>
      <c r="G45" s="16"/>
      <c r="H45" s="16"/>
      <c r="I45" s="16"/>
      <c r="J45" s="8">
        <f>SUM(C45:I45)</f>
        <v>5000</v>
      </c>
      <c r="K45" s="9">
        <f>+K44+J45</f>
        <v>3382385</v>
      </c>
    </row>
    <row r="46" spans="1:11" x14ac:dyDescent="0.25">
      <c r="A46" s="145" t="s">
        <v>179</v>
      </c>
      <c r="B46" s="191"/>
      <c r="C46" s="81">
        <v>90708</v>
      </c>
      <c r="D46" s="81"/>
      <c r="E46" s="81"/>
      <c r="F46" s="81"/>
      <c r="G46" s="81"/>
      <c r="H46" s="81"/>
      <c r="I46" s="81"/>
      <c r="J46" s="8">
        <f t="shared" ref="J46:J57" si="8">SUM(C46:I46)</f>
        <v>90708</v>
      </c>
      <c r="K46" s="9">
        <f t="shared" ref="K46:K57" si="9">+K45+J46</f>
        <v>3473093</v>
      </c>
    </row>
    <row r="47" spans="1:11" x14ac:dyDescent="0.25">
      <c r="A47" s="62" t="s">
        <v>180</v>
      </c>
      <c r="B47" s="167"/>
      <c r="C47" s="8">
        <v>90708</v>
      </c>
      <c r="D47" s="8"/>
      <c r="E47" s="16"/>
      <c r="F47" s="16"/>
      <c r="G47" s="16"/>
      <c r="H47" s="16"/>
      <c r="I47" s="16"/>
      <c r="J47" s="8">
        <f t="shared" si="8"/>
        <v>90708</v>
      </c>
      <c r="K47" s="9">
        <f t="shared" si="9"/>
        <v>3563801</v>
      </c>
    </row>
    <row r="48" spans="1:11" x14ac:dyDescent="0.25">
      <c r="A48" s="69" t="s">
        <v>181</v>
      </c>
      <c r="B48" s="170"/>
      <c r="C48" s="64">
        <v>90708</v>
      </c>
      <c r="D48" s="64"/>
      <c r="E48" s="70"/>
      <c r="F48" s="70"/>
      <c r="G48" s="70"/>
      <c r="H48" s="70"/>
      <c r="I48" s="70"/>
      <c r="J48" s="8">
        <f t="shared" si="8"/>
        <v>90708</v>
      </c>
      <c r="K48" s="9">
        <f t="shared" si="9"/>
        <v>3654509</v>
      </c>
    </row>
    <row r="49" spans="1:11" x14ac:dyDescent="0.25">
      <c r="A49" s="69" t="s">
        <v>182</v>
      </c>
      <c r="B49" s="170"/>
      <c r="C49" s="64">
        <v>90708</v>
      </c>
      <c r="D49" s="64"/>
      <c r="E49" s="70"/>
      <c r="F49" s="70"/>
      <c r="G49" s="162"/>
      <c r="H49" s="70"/>
      <c r="I49" s="70"/>
      <c r="J49" s="8">
        <f t="shared" si="8"/>
        <v>90708</v>
      </c>
      <c r="K49" s="9">
        <f t="shared" si="9"/>
        <v>3745217</v>
      </c>
    </row>
    <row r="50" spans="1:11" x14ac:dyDescent="0.25">
      <c r="A50" s="62" t="s">
        <v>183</v>
      </c>
      <c r="B50" s="167"/>
      <c r="C50" s="8">
        <v>90708</v>
      </c>
      <c r="D50" s="16"/>
      <c r="E50" s="16"/>
      <c r="F50" s="16"/>
      <c r="G50" s="163"/>
      <c r="H50" s="16"/>
      <c r="I50" s="16"/>
      <c r="J50" s="8">
        <f t="shared" si="8"/>
        <v>90708</v>
      </c>
      <c r="K50" s="9">
        <f t="shared" si="9"/>
        <v>3835925</v>
      </c>
    </row>
    <row r="51" spans="1:11" x14ac:dyDescent="0.25">
      <c r="A51" s="62" t="s">
        <v>184</v>
      </c>
      <c r="B51" s="167"/>
      <c r="C51" s="8">
        <v>90708</v>
      </c>
      <c r="D51" s="8"/>
      <c r="E51" s="163"/>
      <c r="F51" s="16"/>
      <c r="G51" s="16"/>
      <c r="H51" s="16"/>
      <c r="I51" s="16"/>
      <c r="J51" s="8">
        <f t="shared" si="8"/>
        <v>90708</v>
      </c>
      <c r="K51" s="9">
        <f t="shared" si="9"/>
        <v>3926633</v>
      </c>
    </row>
    <row r="52" spans="1:11" x14ac:dyDescent="0.25">
      <c r="A52" s="62" t="s">
        <v>185</v>
      </c>
      <c r="B52" s="167"/>
      <c r="C52" s="8">
        <v>90708</v>
      </c>
      <c r="D52" s="8"/>
      <c r="E52" s="16"/>
      <c r="F52" s="163"/>
      <c r="G52" s="16"/>
      <c r="H52" s="16"/>
      <c r="I52" s="16"/>
      <c r="J52" s="8">
        <f t="shared" si="8"/>
        <v>90708</v>
      </c>
      <c r="K52" s="9">
        <f t="shared" si="9"/>
        <v>4017341</v>
      </c>
    </row>
    <row r="53" spans="1:11" x14ac:dyDescent="0.25">
      <c r="A53" s="62" t="s">
        <v>186</v>
      </c>
      <c r="B53" s="167"/>
      <c r="C53" s="8">
        <v>90708</v>
      </c>
      <c r="D53" s="8"/>
      <c r="E53" s="8"/>
      <c r="F53" s="8"/>
      <c r="G53" s="8"/>
      <c r="H53" s="8"/>
      <c r="I53" s="8"/>
      <c r="J53" s="8">
        <f t="shared" si="8"/>
        <v>90708</v>
      </c>
      <c r="K53" s="9">
        <f t="shared" si="9"/>
        <v>4108049</v>
      </c>
    </row>
    <row r="54" spans="1:11" x14ac:dyDescent="0.25">
      <c r="A54" s="459" t="s">
        <v>187</v>
      </c>
      <c r="B54" s="207"/>
      <c r="C54" s="81">
        <v>90708</v>
      </c>
      <c r="D54" s="80"/>
      <c r="E54" s="80"/>
      <c r="F54" s="80"/>
      <c r="G54" s="80"/>
      <c r="H54" s="80"/>
      <c r="I54" s="80"/>
      <c r="J54" s="8">
        <f t="shared" si="8"/>
        <v>90708</v>
      </c>
      <c r="K54" s="9">
        <f t="shared" si="9"/>
        <v>4198757</v>
      </c>
    </row>
    <row r="55" spans="1:11" x14ac:dyDescent="0.25">
      <c r="A55" s="195" t="s">
        <v>188</v>
      </c>
      <c r="B55" s="196"/>
      <c r="C55" s="81">
        <v>90708</v>
      </c>
      <c r="D55" s="80"/>
      <c r="E55" s="80"/>
      <c r="F55" s="81"/>
      <c r="G55" s="177"/>
      <c r="H55" s="80"/>
      <c r="I55" s="80"/>
      <c r="J55" s="8">
        <f t="shared" si="8"/>
        <v>90708</v>
      </c>
      <c r="K55" s="9">
        <f t="shared" si="9"/>
        <v>4289465</v>
      </c>
    </row>
    <row r="56" spans="1:11" x14ac:dyDescent="0.25">
      <c r="A56" s="62" t="s">
        <v>189</v>
      </c>
      <c r="B56" s="197"/>
      <c r="C56" s="8">
        <v>90708</v>
      </c>
      <c r="D56" s="8"/>
      <c r="E56" s="8"/>
      <c r="F56" s="16"/>
      <c r="G56" s="176"/>
      <c r="H56" s="8"/>
      <c r="I56" s="8"/>
      <c r="J56" s="8">
        <f t="shared" si="8"/>
        <v>90708</v>
      </c>
      <c r="K56" s="9">
        <f t="shared" si="9"/>
        <v>4380173</v>
      </c>
    </row>
    <row r="57" spans="1:11" ht="15.75" thickBot="1" x14ac:dyDescent="0.3">
      <c r="A57" s="73" t="s">
        <v>190</v>
      </c>
      <c r="B57" s="198"/>
      <c r="C57" s="194">
        <v>90708</v>
      </c>
      <c r="D57" s="10"/>
      <c r="E57" s="3"/>
      <c r="F57" s="3"/>
      <c r="G57" s="194"/>
      <c r="H57" s="3"/>
      <c r="I57" s="3"/>
      <c r="J57" s="10">
        <f t="shared" si="8"/>
        <v>90708</v>
      </c>
      <c r="K57" s="9">
        <f t="shared" si="9"/>
        <v>4470881</v>
      </c>
    </row>
    <row r="58" spans="1:11" ht="15.75" thickBot="1" x14ac:dyDescent="0.3">
      <c r="A58" s="36" t="s">
        <v>61</v>
      </c>
      <c r="B58" s="193"/>
      <c r="C58" s="15">
        <f>SUM(C44:C57)</f>
        <v>4135616</v>
      </c>
      <c r="D58" s="15">
        <f t="shared" ref="D58:I58" si="10">SUM(D44:D57)</f>
        <v>335265</v>
      </c>
      <c r="E58" s="15">
        <f t="shared" si="10"/>
        <v>0</v>
      </c>
      <c r="F58" s="15">
        <f t="shared" si="10"/>
        <v>0</v>
      </c>
      <c r="G58" s="15">
        <f t="shared" si="10"/>
        <v>0</v>
      </c>
      <c r="H58" s="15">
        <f t="shared" si="10"/>
        <v>0</v>
      </c>
      <c r="I58" s="15">
        <f t="shared" si="10"/>
        <v>0</v>
      </c>
      <c r="J58" s="15">
        <f>SUM(J45:J57)</f>
        <v>1093496</v>
      </c>
      <c r="K58" s="149">
        <f>+K57</f>
        <v>4470881</v>
      </c>
    </row>
    <row r="59" spans="1:11" x14ac:dyDescent="0.25">
      <c r="A59" t="s">
        <v>5</v>
      </c>
    </row>
    <row r="60" spans="1:11" x14ac:dyDescent="0.25">
      <c r="A60" t="s">
        <v>9</v>
      </c>
      <c r="E60" t="s">
        <v>50</v>
      </c>
      <c r="I60" t="s">
        <v>14</v>
      </c>
    </row>
    <row r="61" spans="1:11" x14ac:dyDescent="0.25">
      <c r="A61" t="s">
        <v>44</v>
      </c>
    </row>
    <row r="62" spans="1:11" x14ac:dyDescent="0.25">
      <c r="E62" t="s">
        <v>13</v>
      </c>
      <c r="F62" s="13">
        <v>6010</v>
      </c>
      <c r="I62" t="s">
        <v>75</v>
      </c>
    </row>
    <row r="63" spans="1:11" x14ac:dyDescent="0.25">
      <c r="E63" t="s">
        <v>6</v>
      </c>
      <c r="F63" s="13" t="s">
        <v>7</v>
      </c>
    </row>
    <row r="64" spans="1:11" ht="15.75" thickBot="1" x14ac:dyDescent="0.3"/>
    <row r="65" spans="1:11" ht="30.75" thickBot="1" x14ac:dyDescent="0.3">
      <c r="A65" s="75" t="s">
        <v>42</v>
      </c>
      <c r="B65" s="16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/>
      <c r="I65" s="45">
        <v>7</v>
      </c>
      <c r="J65" s="51" t="s">
        <v>16</v>
      </c>
      <c r="K65" s="139" t="s">
        <v>17</v>
      </c>
    </row>
    <row r="66" spans="1:11" x14ac:dyDescent="0.25">
      <c r="A66" s="76" t="s">
        <v>43</v>
      </c>
      <c r="B66" s="166"/>
      <c r="C66" s="35">
        <f t="shared" ref="C66:K66" si="11">+C58</f>
        <v>4135616</v>
      </c>
      <c r="D66" s="35">
        <f t="shared" si="11"/>
        <v>335265</v>
      </c>
      <c r="E66" s="35">
        <f t="shared" si="11"/>
        <v>0</v>
      </c>
      <c r="F66" s="35">
        <f t="shared" si="11"/>
        <v>0</v>
      </c>
      <c r="G66" s="35">
        <f t="shared" si="11"/>
        <v>0</v>
      </c>
      <c r="H66" s="35">
        <f t="shared" si="11"/>
        <v>0</v>
      </c>
      <c r="I66" s="35">
        <f t="shared" si="11"/>
        <v>0</v>
      </c>
      <c r="J66" s="35">
        <f t="shared" si="11"/>
        <v>1093496</v>
      </c>
      <c r="K66" s="12">
        <f t="shared" si="11"/>
        <v>4470881</v>
      </c>
    </row>
    <row r="67" spans="1:11" x14ac:dyDescent="0.25">
      <c r="A67" s="195" t="s">
        <v>191</v>
      </c>
      <c r="B67" s="197"/>
      <c r="C67" s="8">
        <v>90708</v>
      </c>
      <c r="D67" s="16"/>
      <c r="E67" s="185"/>
      <c r="F67" s="176"/>
      <c r="G67" s="176"/>
      <c r="H67" s="16"/>
      <c r="I67" s="16"/>
      <c r="J67" s="451">
        <f>SUM(C67:I67)</f>
        <v>90708</v>
      </c>
      <c r="K67" s="9">
        <f t="shared" ref="K67:K72" si="12">+K66+J67</f>
        <v>4561589</v>
      </c>
    </row>
    <row r="68" spans="1:11" x14ac:dyDescent="0.25">
      <c r="A68" s="62" t="s">
        <v>192</v>
      </c>
      <c r="B68" s="197"/>
      <c r="C68" s="8">
        <v>90708</v>
      </c>
      <c r="D68" s="16"/>
      <c r="E68" s="185"/>
      <c r="F68" s="176"/>
      <c r="G68" s="176"/>
      <c r="H68" s="16"/>
      <c r="I68" s="16"/>
      <c r="J68" s="451">
        <f t="shared" ref="J68:J87" si="13">SUM(C68:I68)</f>
        <v>90708</v>
      </c>
      <c r="K68" s="9">
        <f t="shared" si="12"/>
        <v>4652297</v>
      </c>
    </row>
    <row r="69" spans="1:11" x14ac:dyDescent="0.25">
      <c r="A69" s="145" t="s">
        <v>193</v>
      </c>
      <c r="B69" s="191"/>
      <c r="C69" s="81">
        <v>110708</v>
      </c>
      <c r="D69" s="80"/>
      <c r="E69" s="80"/>
      <c r="F69" s="80"/>
      <c r="G69" s="80"/>
      <c r="H69" s="80"/>
      <c r="I69" s="80">
        <f>SUM(I66:I68)</f>
        <v>0</v>
      </c>
      <c r="J69" s="451">
        <f t="shared" si="13"/>
        <v>110708</v>
      </c>
      <c r="K69" s="9">
        <f t="shared" si="12"/>
        <v>4763005</v>
      </c>
    </row>
    <row r="70" spans="1:11" x14ac:dyDescent="0.25">
      <c r="A70" s="195" t="s">
        <v>214</v>
      </c>
      <c r="B70" s="196"/>
      <c r="C70" s="177">
        <v>16755</v>
      </c>
      <c r="D70" s="177"/>
      <c r="E70" s="177"/>
      <c r="F70" s="177"/>
      <c r="G70" s="177"/>
      <c r="H70" s="177"/>
      <c r="I70" s="177"/>
      <c r="J70" s="451">
        <f t="shared" si="13"/>
        <v>16755</v>
      </c>
      <c r="K70" s="9">
        <f t="shared" si="12"/>
        <v>4779760</v>
      </c>
    </row>
    <row r="71" spans="1:11" x14ac:dyDescent="0.25">
      <c r="A71" s="183" t="s">
        <v>220</v>
      </c>
      <c r="B71" s="197"/>
      <c r="C71" s="176">
        <v>70425</v>
      </c>
      <c r="D71" s="176"/>
      <c r="E71" s="176"/>
      <c r="F71" s="185"/>
      <c r="G71" s="185"/>
      <c r="H71" s="185"/>
      <c r="I71" s="185"/>
      <c r="J71" s="451">
        <f t="shared" si="13"/>
        <v>70425</v>
      </c>
      <c r="K71" s="9">
        <f t="shared" si="12"/>
        <v>4850185</v>
      </c>
    </row>
    <row r="72" spans="1:11" ht="15.75" thickBot="1" x14ac:dyDescent="0.3">
      <c r="A72" s="73" t="s">
        <v>226</v>
      </c>
      <c r="B72" s="192"/>
      <c r="C72" s="462"/>
      <c r="D72" s="10">
        <v>162225</v>
      </c>
      <c r="E72" s="3"/>
      <c r="F72" s="3"/>
      <c r="G72" s="3"/>
      <c r="H72" s="3"/>
      <c r="I72" s="3"/>
      <c r="J72" s="454">
        <f t="shared" si="13"/>
        <v>162225</v>
      </c>
      <c r="K72" s="11">
        <f t="shared" si="12"/>
        <v>5012410</v>
      </c>
    </row>
    <row r="73" spans="1:11" x14ac:dyDescent="0.25">
      <c r="A73" s="79" t="s">
        <v>370</v>
      </c>
      <c r="B73" s="190"/>
      <c r="C73" s="324">
        <f>SUM(C66:C72)</f>
        <v>4514920</v>
      </c>
      <c r="D73" s="324">
        <f t="shared" ref="D73:I73" si="14">SUM(D66:D72)</f>
        <v>497490</v>
      </c>
      <c r="E73" s="324">
        <f t="shared" si="14"/>
        <v>0</v>
      </c>
      <c r="F73" s="324">
        <f t="shared" si="14"/>
        <v>0</v>
      </c>
      <c r="G73" s="324">
        <f t="shared" si="14"/>
        <v>0</v>
      </c>
      <c r="H73" s="324">
        <f t="shared" si="14"/>
        <v>0</v>
      </c>
      <c r="I73" s="324">
        <f t="shared" si="14"/>
        <v>0</v>
      </c>
      <c r="J73" s="461">
        <f>SUM(J66:J72)</f>
        <v>1635025</v>
      </c>
      <c r="K73" s="82">
        <f>+K72</f>
        <v>5012410</v>
      </c>
    </row>
    <row r="74" spans="1:11" x14ac:dyDescent="0.25">
      <c r="A74" s="62" t="s">
        <v>239</v>
      </c>
      <c r="B74" s="167"/>
      <c r="C74" s="8">
        <v>5000</v>
      </c>
      <c r="D74" s="8"/>
      <c r="E74" s="16"/>
      <c r="F74" s="16"/>
      <c r="G74" s="16"/>
      <c r="H74" s="16"/>
      <c r="I74" s="16"/>
      <c r="J74" s="451">
        <f t="shared" si="13"/>
        <v>5000</v>
      </c>
      <c r="K74" s="9">
        <f>K73+J74</f>
        <v>5017410</v>
      </c>
    </row>
    <row r="75" spans="1:11" x14ac:dyDescent="0.25">
      <c r="A75" s="460" t="s">
        <v>249</v>
      </c>
      <c r="B75" s="167"/>
      <c r="C75" s="8">
        <v>90708</v>
      </c>
      <c r="D75" s="8"/>
      <c r="E75" s="16"/>
      <c r="F75" s="16"/>
      <c r="G75" s="16"/>
      <c r="H75" s="16"/>
      <c r="I75" s="16"/>
      <c r="J75" s="451">
        <f t="shared" si="13"/>
        <v>90708</v>
      </c>
      <c r="K75" s="9">
        <f t="shared" ref="K75:K87" si="15">K74+J75</f>
        <v>5108118</v>
      </c>
    </row>
    <row r="76" spans="1:11" x14ac:dyDescent="0.25">
      <c r="A76" s="200" t="s">
        <v>250</v>
      </c>
      <c r="B76" s="167"/>
      <c r="C76" s="8">
        <v>90708</v>
      </c>
      <c r="D76" s="8"/>
      <c r="E76" s="16"/>
      <c r="F76" s="8"/>
      <c r="G76" s="8"/>
      <c r="H76" s="8"/>
      <c r="I76" s="8"/>
      <c r="J76" s="451">
        <f t="shared" si="13"/>
        <v>90708</v>
      </c>
      <c r="K76" s="9">
        <f t="shared" si="15"/>
        <v>5198826</v>
      </c>
    </row>
    <row r="77" spans="1:11" x14ac:dyDescent="0.25">
      <c r="A77" s="62" t="s">
        <v>251</v>
      </c>
      <c r="B77" s="167"/>
      <c r="C77" s="8">
        <v>90708</v>
      </c>
      <c r="D77" s="8"/>
      <c r="E77" s="16"/>
      <c r="F77" s="8"/>
      <c r="G77" s="8"/>
      <c r="H77" s="8"/>
      <c r="I77" s="8"/>
      <c r="J77" s="451">
        <f t="shared" si="13"/>
        <v>90708</v>
      </c>
      <c r="K77" s="9">
        <f t="shared" si="15"/>
        <v>5289534</v>
      </c>
    </row>
    <row r="78" spans="1:11" x14ac:dyDescent="0.25">
      <c r="A78" s="61" t="s">
        <v>252</v>
      </c>
      <c r="B78" s="168"/>
      <c r="C78" s="8">
        <v>90708</v>
      </c>
      <c r="D78" s="8"/>
      <c r="E78" s="8"/>
      <c r="F78" s="8"/>
      <c r="G78" s="8"/>
      <c r="H78" s="8"/>
      <c r="I78" s="8"/>
      <c r="J78" s="451">
        <f t="shared" si="13"/>
        <v>90708</v>
      </c>
      <c r="K78" s="9">
        <f t="shared" si="15"/>
        <v>5380242</v>
      </c>
    </row>
    <row r="79" spans="1:11" x14ac:dyDescent="0.25">
      <c r="A79" s="226" t="s">
        <v>253</v>
      </c>
      <c r="B79" s="255"/>
      <c r="C79" s="78">
        <v>90708</v>
      </c>
      <c r="D79" s="124"/>
      <c r="E79" s="124"/>
      <c r="F79" s="124"/>
      <c r="G79" s="124"/>
      <c r="H79" s="124"/>
      <c r="I79" s="124">
        <f>SUM(I69:I78)</f>
        <v>0</v>
      </c>
      <c r="J79" s="451">
        <f t="shared" si="13"/>
        <v>90708</v>
      </c>
      <c r="K79" s="9">
        <f t="shared" si="15"/>
        <v>5470950</v>
      </c>
    </row>
    <row r="80" spans="1:11" x14ac:dyDescent="0.25">
      <c r="A80" s="62" t="s">
        <v>254</v>
      </c>
      <c r="B80" s="167"/>
      <c r="C80" s="8">
        <v>90708</v>
      </c>
      <c r="D80" s="8"/>
      <c r="E80" s="8"/>
      <c r="F80" s="8"/>
      <c r="G80" s="8"/>
      <c r="H80" s="8"/>
      <c r="I80" s="8"/>
      <c r="J80" s="451">
        <f t="shared" si="13"/>
        <v>90708</v>
      </c>
      <c r="K80" s="9">
        <f t="shared" si="15"/>
        <v>5561658</v>
      </c>
    </row>
    <row r="81" spans="1:11" x14ac:dyDescent="0.25">
      <c r="A81" s="62" t="s">
        <v>255</v>
      </c>
      <c r="B81" s="167"/>
      <c r="C81" s="8">
        <v>90708</v>
      </c>
      <c r="D81" s="8"/>
      <c r="E81" s="8"/>
      <c r="F81" s="16"/>
      <c r="G81" s="16"/>
      <c r="H81" s="16"/>
      <c r="I81" s="16"/>
      <c r="J81" s="451">
        <f t="shared" si="13"/>
        <v>90708</v>
      </c>
      <c r="K81" s="9">
        <f t="shared" si="15"/>
        <v>5652366</v>
      </c>
    </row>
    <row r="82" spans="1:11" x14ac:dyDescent="0.25">
      <c r="A82" s="62" t="s">
        <v>262</v>
      </c>
      <c r="B82" s="200"/>
      <c r="C82" s="8">
        <v>90708</v>
      </c>
      <c r="D82" s="8"/>
      <c r="E82" s="16"/>
      <c r="F82" s="8"/>
      <c r="G82" s="16"/>
      <c r="H82" s="16"/>
      <c r="I82" s="16"/>
      <c r="J82" s="451">
        <f t="shared" si="13"/>
        <v>90708</v>
      </c>
      <c r="K82" s="9">
        <f t="shared" si="15"/>
        <v>5743074</v>
      </c>
    </row>
    <row r="83" spans="1:11" x14ac:dyDescent="0.25">
      <c r="A83" s="62" t="s">
        <v>263</v>
      </c>
      <c r="B83" s="167"/>
      <c r="C83" s="8">
        <v>90708</v>
      </c>
      <c r="D83" s="8"/>
      <c r="E83" s="8"/>
      <c r="F83" s="8"/>
      <c r="G83" s="8"/>
      <c r="H83" s="8"/>
      <c r="I83" s="8"/>
      <c r="J83" s="451">
        <f t="shared" si="13"/>
        <v>90708</v>
      </c>
      <c r="K83" s="9">
        <f t="shared" si="15"/>
        <v>5833782</v>
      </c>
    </row>
    <row r="84" spans="1:11" x14ac:dyDescent="0.25">
      <c r="A84" s="206" t="s">
        <v>264</v>
      </c>
      <c r="B84" s="207"/>
      <c r="C84" s="81">
        <v>90708</v>
      </c>
      <c r="D84" s="81"/>
      <c r="E84" s="81"/>
      <c r="F84" s="81"/>
      <c r="G84" s="81"/>
      <c r="H84" s="81"/>
      <c r="I84" s="81"/>
      <c r="J84" s="451">
        <f t="shared" si="13"/>
        <v>90708</v>
      </c>
      <c r="K84" s="9">
        <f t="shared" si="15"/>
        <v>5924490</v>
      </c>
    </row>
    <row r="85" spans="1:11" x14ac:dyDescent="0.25">
      <c r="A85" s="145" t="s">
        <v>265</v>
      </c>
      <c r="B85" s="191"/>
      <c r="C85" s="81">
        <v>90708</v>
      </c>
      <c r="D85" s="81"/>
      <c r="E85" s="80"/>
      <c r="F85" s="81"/>
      <c r="G85" s="80"/>
      <c r="H85" s="80"/>
      <c r="I85" s="80"/>
      <c r="J85" s="451">
        <f t="shared" si="13"/>
        <v>90708</v>
      </c>
      <c r="K85" s="9">
        <f t="shared" si="15"/>
        <v>6015198</v>
      </c>
    </row>
    <row r="86" spans="1:11" x14ac:dyDescent="0.25">
      <c r="A86" s="183" t="s">
        <v>266</v>
      </c>
      <c r="B86" s="197"/>
      <c r="C86" s="176">
        <v>90708</v>
      </c>
      <c r="D86" s="176"/>
      <c r="E86" s="176"/>
      <c r="F86" s="185"/>
      <c r="G86" s="176"/>
      <c r="H86" s="176"/>
      <c r="I86" s="176"/>
      <c r="J86" s="451">
        <f t="shared" si="13"/>
        <v>90708</v>
      </c>
      <c r="K86" s="9">
        <f t="shared" si="15"/>
        <v>6105906</v>
      </c>
    </row>
    <row r="87" spans="1:11" ht="15.75" thickBot="1" x14ac:dyDescent="0.3">
      <c r="A87" s="222" t="s">
        <v>267</v>
      </c>
      <c r="B87" s="198"/>
      <c r="C87" s="194">
        <v>90708</v>
      </c>
      <c r="D87" s="194"/>
      <c r="E87" s="199"/>
      <c r="F87" s="199"/>
      <c r="G87" s="199"/>
      <c r="H87" s="199"/>
      <c r="I87" s="199"/>
      <c r="J87" s="454">
        <f t="shared" si="13"/>
        <v>90708</v>
      </c>
      <c r="K87" s="9">
        <f t="shared" si="15"/>
        <v>6196614</v>
      </c>
    </row>
    <row r="88" spans="1:11" ht="23.25" customHeight="1" thickBot="1" x14ac:dyDescent="0.3">
      <c r="A88" s="36" t="s">
        <v>61</v>
      </c>
      <c r="B88" s="193"/>
      <c r="C88" s="15">
        <f>SUM(C73:C87)</f>
        <v>5699124</v>
      </c>
      <c r="D88" s="15">
        <f>SUM(D73:D87)</f>
        <v>497490</v>
      </c>
      <c r="E88" s="15">
        <f>SUM(E79:E87)</f>
        <v>0</v>
      </c>
      <c r="F88" s="15">
        <f>SUM(F79:F87)</f>
        <v>0</v>
      </c>
      <c r="G88" s="15">
        <f>SUM(G79:G87)</f>
        <v>0</v>
      </c>
      <c r="H88" s="15">
        <f>SUM(H79:H87)</f>
        <v>0</v>
      </c>
      <c r="I88" s="15">
        <f>SUM(I79:I87)</f>
        <v>0</v>
      </c>
      <c r="J88" s="15">
        <f>SUM(J74:J87)</f>
        <v>1184204</v>
      </c>
      <c r="K88" s="14">
        <f>SUM(K87)</f>
        <v>6196614</v>
      </c>
    </row>
    <row r="89" spans="1:11" x14ac:dyDescent="0.25">
      <c r="A89" t="s">
        <v>5</v>
      </c>
    </row>
    <row r="91" spans="1:11" x14ac:dyDescent="0.25">
      <c r="A91" t="s">
        <v>9</v>
      </c>
      <c r="E91" t="s">
        <v>50</v>
      </c>
      <c r="I91" t="s">
        <v>45</v>
      </c>
    </row>
    <row r="92" spans="1:11" x14ac:dyDescent="0.25">
      <c r="A92" t="s">
        <v>44</v>
      </c>
    </row>
    <row r="93" spans="1:11" x14ac:dyDescent="0.25">
      <c r="E93" t="s">
        <v>13</v>
      </c>
      <c r="F93" s="13">
        <v>6010</v>
      </c>
      <c r="I93" t="s">
        <v>75</v>
      </c>
    </row>
    <row r="94" spans="1:11" x14ac:dyDescent="0.25">
      <c r="E94" t="s">
        <v>6</v>
      </c>
      <c r="F94" s="13" t="s">
        <v>7</v>
      </c>
    </row>
    <row r="95" spans="1:11" ht="15.75" thickBot="1" x14ac:dyDescent="0.3"/>
    <row r="96" spans="1:11" ht="30.75" thickBot="1" x14ac:dyDescent="0.3">
      <c r="A96" s="75" t="s">
        <v>42</v>
      </c>
      <c r="B96" s="165"/>
      <c r="C96" s="45">
        <v>1</v>
      </c>
      <c r="D96" s="45">
        <v>2</v>
      </c>
      <c r="E96" s="45">
        <v>3</v>
      </c>
      <c r="F96" s="45">
        <v>4</v>
      </c>
      <c r="G96" s="45">
        <v>5</v>
      </c>
      <c r="H96" s="45"/>
      <c r="I96" s="45">
        <v>7</v>
      </c>
      <c r="J96" s="51" t="s">
        <v>16</v>
      </c>
      <c r="K96" s="139" t="s">
        <v>17</v>
      </c>
    </row>
    <row r="97" spans="1:11" x14ac:dyDescent="0.25">
      <c r="A97" s="76" t="s">
        <v>43</v>
      </c>
      <c r="B97" s="166"/>
      <c r="C97" s="35">
        <f t="shared" ref="C97:K97" si="16">+C88</f>
        <v>5699124</v>
      </c>
      <c r="D97" s="35">
        <f t="shared" si="16"/>
        <v>497490</v>
      </c>
      <c r="E97" s="35">
        <f t="shared" si="16"/>
        <v>0</v>
      </c>
      <c r="F97" s="35">
        <f t="shared" si="16"/>
        <v>0</v>
      </c>
      <c r="G97" s="35">
        <f t="shared" si="16"/>
        <v>0</v>
      </c>
      <c r="H97" s="35">
        <f t="shared" si="16"/>
        <v>0</v>
      </c>
      <c r="I97" s="35">
        <f t="shared" si="16"/>
        <v>0</v>
      </c>
      <c r="J97" s="35">
        <f t="shared" si="16"/>
        <v>1184204</v>
      </c>
      <c r="K97" s="35">
        <f t="shared" si="16"/>
        <v>6196614</v>
      </c>
    </row>
    <row r="98" spans="1:11" x14ac:dyDescent="0.25">
      <c r="A98" s="256" t="s">
        <v>268</v>
      </c>
      <c r="B98" s="279"/>
      <c r="C98" s="8">
        <v>90708</v>
      </c>
      <c r="D98" s="16"/>
      <c r="E98" s="185"/>
      <c r="F98" s="176"/>
      <c r="G98" s="176"/>
      <c r="H98" s="16"/>
      <c r="I98" s="16"/>
      <c r="J98" s="8">
        <f>SUM(C98:I98)</f>
        <v>90708</v>
      </c>
      <c r="K98" s="9">
        <f>K97+J98</f>
        <v>6287322</v>
      </c>
    </row>
    <row r="99" spans="1:11" x14ac:dyDescent="0.25">
      <c r="A99" s="227" t="s">
        <v>269</v>
      </c>
      <c r="B99" s="279"/>
      <c r="C99" s="8">
        <v>90708</v>
      </c>
      <c r="D99" s="16"/>
      <c r="E99" s="185"/>
      <c r="F99" s="176"/>
      <c r="G99" s="176"/>
      <c r="H99" s="16"/>
      <c r="I99" s="16"/>
      <c r="J99" s="8">
        <f>SUM(C99:I99)</f>
        <v>90708</v>
      </c>
      <c r="K99" s="9">
        <f>K98+J99</f>
        <v>6378030</v>
      </c>
    </row>
    <row r="100" spans="1:11" x14ac:dyDescent="0.25">
      <c r="A100" s="145" t="s">
        <v>284</v>
      </c>
      <c r="B100" s="191"/>
      <c r="C100" s="81">
        <v>16755</v>
      </c>
      <c r="D100" s="81"/>
      <c r="E100" s="81"/>
      <c r="F100" s="81"/>
      <c r="G100" s="81"/>
      <c r="H100" s="81"/>
      <c r="I100" s="80"/>
      <c r="J100" s="8">
        <f t="shared" ref="J100:J117" si="17">SUM(C100:I100)</f>
        <v>16755</v>
      </c>
      <c r="K100" s="9">
        <f>K99+J100</f>
        <v>6394785</v>
      </c>
    </row>
    <row r="101" spans="1:11" x14ac:dyDescent="0.25">
      <c r="A101" s="256" t="s">
        <v>290</v>
      </c>
      <c r="B101" s="257"/>
      <c r="C101" s="258">
        <v>70425</v>
      </c>
      <c r="D101" s="258"/>
      <c r="E101" s="258"/>
      <c r="F101" s="258"/>
      <c r="G101" s="258"/>
      <c r="H101" s="177"/>
      <c r="I101" s="177"/>
      <c r="J101" s="8">
        <f t="shared" si="17"/>
        <v>70425</v>
      </c>
      <c r="K101" s="9">
        <f>K100+J101</f>
        <v>6465210</v>
      </c>
    </row>
    <row r="102" spans="1:11" ht="15.75" thickBot="1" x14ac:dyDescent="0.3">
      <c r="A102" s="213" t="s">
        <v>296</v>
      </c>
      <c r="B102" s="299"/>
      <c r="C102" s="214"/>
      <c r="D102" s="214">
        <v>162225</v>
      </c>
      <c r="E102" s="214"/>
      <c r="F102" s="214"/>
      <c r="G102" s="199"/>
      <c r="H102" s="199"/>
      <c r="I102" s="199"/>
      <c r="J102" s="10">
        <f t="shared" si="17"/>
        <v>162225</v>
      </c>
      <c r="K102" s="11">
        <f>K101+J102</f>
        <v>6627435</v>
      </c>
    </row>
    <row r="103" spans="1:11" x14ac:dyDescent="0.25">
      <c r="A103" s="79" t="s">
        <v>59</v>
      </c>
      <c r="B103" s="190"/>
      <c r="C103" s="324">
        <f>SUM(C97:C102)</f>
        <v>5967720</v>
      </c>
      <c r="D103" s="324">
        <f t="shared" ref="D103:I103" si="18">SUM(D97:D102)</f>
        <v>659715</v>
      </c>
      <c r="E103" s="324">
        <f t="shared" si="18"/>
        <v>0</v>
      </c>
      <c r="F103" s="324">
        <f t="shared" si="18"/>
        <v>0</v>
      </c>
      <c r="G103" s="324">
        <f t="shared" si="18"/>
        <v>0</v>
      </c>
      <c r="H103" s="324">
        <f t="shared" si="18"/>
        <v>0</v>
      </c>
      <c r="I103" s="324">
        <f t="shared" si="18"/>
        <v>0</v>
      </c>
      <c r="J103" s="80">
        <f>SUM(J97:J102)</f>
        <v>1615025</v>
      </c>
      <c r="K103" s="82">
        <f>K102</f>
        <v>6627435</v>
      </c>
    </row>
    <row r="104" spans="1:11" x14ac:dyDescent="0.25">
      <c r="A104" s="62" t="s">
        <v>310</v>
      </c>
      <c r="B104" s="167"/>
      <c r="C104" s="8">
        <v>5000</v>
      </c>
      <c r="D104" s="8"/>
      <c r="E104" s="16"/>
      <c r="F104" s="16"/>
      <c r="G104" s="16"/>
      <c r="H104" s="16"/>
      <c r="I104" s="16"/>
      <c r="J104" s="8">
        <f t="shared" si="17"/>
        <v>5000</v>
      </c>
      <c r="K104" s="9">
        <f t="shared" ref="K104:K117" si="19">+K103+J104</f>
        <v>6632435</v>
      </c>
    </row>
    <row r="105" spans="1:11" x14ac:dyDescent="0.25">
      <c r="A105" s="460" t="s">
        <v>320</v>
      </c>
      <c r="B105" s="167"/>
      <c r="C105" s="8">
        <v>90708</v>
      </c>
      <c r="D105" s="8"/>
      <c r="E105" s="16"/>
      <c r="F105" s="16"/>
      <c r="G105" s="16"/>
      <c r="H105" s="16"/>
      <c r="I105" s="16"/>
      <c r="J105" s="8">
        <f t="shared" si="17"/>
        <v>90708</v>
      </c>
      <c r="K105" s="9">
        <f t="shared" si="19"/>
        <v>6723143</v>
      </c>
    </row>
    <row r="106" spans="1:11" x14ac:dyDescent="0.25">
      <c r="A106" s="200" t="s">
        <v>321</v>
      </c>
      <c r="B106" s="167"/>
      <c r="C106" s="8">
        <v>90708</v>
      </c>
      <c r="D106" s="8"/>
      <c r="E106" s="16"/>
      <c r="F106" s="8"/>
      <c r="G106" s="8"/>
      <c r="H106" s="8"/>
      <c r="I106" s="8"/>
      <c r="J106" s="8">
        <f t="shared" si="17"/>
        <v>90708</v>
      </c>
      <c r="K106" s="9">
        <f t="shared" si="19"/>
        <v>6813851</v>
      </c>
    </row>
    <row r="107" spans="1:11" x14ac:dyDescent="0.25">
      <c r="A107" s="62" t="s">
        <v>322</v>
      </c>
      <c r="B107" s="167"/>
      <c r="C107" s="8">
        <v>90708</v>
      </c>
      <c r="D107" s="8"/>
      <c r="E107" s="8"/>
      <c r="F107" s="8"/>
      <c r="G107" s="8"/>
      <c r="H107" s="8"/>
      <c r="I107" s="8"/>
      <c r="J107" s="8">
        <f t="shared" si="17"/>
        <v>90708</v>
      </c>
      <c r="K107" s="9">
        <f t="shared" si="19"/>
        <v>6904559</v>
      </c>
    </row>
    <row r="108" spans="1:11" x14ac:dyDescent="0.25">
      <c r="A108" s="61" t="s">
        <v>323</v>
      </c>
      <c r="B108" s="168"/>
      <c r="C108" s="8">
        <v>90708</v>
      </c>
      <c r="D108" s="8"/>
      <c r="E108" s="8"/>
      <c r="F108" s="8"/>
      <c r="G108" s="8"/>
      <c r="H108" s="8"/>
      <c r="I108" s="8"/>
      <c r="J108" s="8">
        <f t="shared" si="17"/>
        <v>90708</v>
      </c>
      <c r="K108" s="9">
        <f t="shared" si="19"/>
        <v>6995267</v>
      </c>
    </row>
    <row r="109" spans="1:11" x14ac:dyDescent="0.25">
      <c r="A109" s="226" t="s">
        <v>324</v>
      </c>
      <c r="B109" s="255"/>
      <c r="C109" s="78">
        <v>90708</v>
      </c>
      <c r="D109" s="124"/>
      <c r="E109" s="78"/>
      <c r="F109" s="124"/>
      <c r="G109" s="124"/>
      <c r="H109" s="124"/>
      <c r="I109" s="124"/>
      <c r="J109" s="8">
        <f t="shared" si="17"/>
        <v>90708</v>
      </c>
      <c r="K109" s="9">
        <f t="shared" si="19"/>
        <v>7085975</v>
      </c>
    </row>
    <row r="110" spans="1:11" x14ac:dyDescent="0.25">
      <c r="A110" s="62" t="s">
        <v>325</v>
      </c>
      <c r="B110" s="167"/>
      <c r="C110" s="8">
        <v>90708</v>
      </c>
      <c r="D110" s="8"/>
      <c r="E110" s="8"/>
      <c r="F110" s="8"/>
      <c r="G110" s="8"/>
      <c r="H110" s="8"/>
      <c r="I110" s="8"/>
      <c r="J110" s="8">
        <f t="shared" si="17"/>
        <v>90708</v>
      </c>
      <c r="K110" s="9">
        <f t="shared" si="19"/>
        <v>7176683</v>
      </c>
    </row>
    <row r="111" spans="1:11" x14ac:dyDescent="0.25">
      <c r="A111" s="62" t="s">
        <v>326</v>
      </c>
      <c r="B111" s="167"/>
      <c r="C111" s="8">
        <v>90708</v>
      </c>
      <c r="D111" s="8"/>
      <c r="E111" s="8"/>
      <c r="F111" s="16"/>
      <c r="G111" s="16"/>
      <c r="H111" s="16"/>
      <c r="I111" s="16"/>
      <c r="J111" s="8">
        <f t="shared" si="17"/>
        <v>90708</v>
      </c>
      <c r="K111" s="9">
        <f t="shared" si="19"/>
        <v>7267391</v>
      </c>
    </row>
    <row r="112" spans="1:11" x14ac:dyDescent="0.25">
      <c r="A112" s="62" t="s">
        <v>331</v>
      </c>
      <c r="B112" s="200"/>
      <c r="C112" s="8">
        <v>90708</v>
      </c>
      <c r="D112" s="8"/>
      <c r="E112" s="16"/>
      <c r="F112" s="8"/>
      <c r="G112" s="16"/>
      <c r="H112" s="16"/>
      <c r="I112" s="16"/>
      <c r="J112" s="8">
        <f t="shared" si="17"/>
        <v>90708</v>
      </c>
      <c r="K112" s="9">
        <f t="shared" si="19"/>
        <v>7358099</v>
      </c>
    </row>
    <row r="113" spans="1:11" x14ac:dyDescent="0.25">
      <c r="A113" s="145" t="s">
        <v>332</v>
      </c>
      <c r="B113" s="191"/>
      <c r="C113" s="81">
        <v>90708</v>
      </c>
      <c r="D113" s="80"/>
      <c r="E113" s="80"/>
      <c r="F113" s="80"/>
      <c r="G113" s="80"/>
      <c r="H113" s="80"/>
      <c r="I113" s="80">
        <f>SUM(I97:I112)</f>
        <v>0</v>
      </c>
      <c r="J113" s="8">
        <f t="shared" si="17"/>
        <v>90708</v>
      </c>
      <c r="K113" s="9">
        <f t="shared" si="19"/>
        <v>7448807</v>
      </c>
    </row>
    <row r="114" spans="1:11" x14ac:dyDescent="0.25">
      <c r="A114" s="206" t="s">
        <v>333</v>
      </c>
      <c r="B114" s="207"/>
      <c r="C114" s="81">
        <v>90708</v>
      </c>
      <c r="D114" s="81"/>
      <c r="E114" s="81"/>
      <c r="F114" s="81"/>
      <c r="G114" s="81"/>
      <c r="H114" s="81"/>
      <c r="I114" s="81"/>
      <c r="J114" s="8">
        <f t="shared" si="17"/>
        <v>90708</v>
      </c>
      <c r="K114" s="9">
        <f t="shared" si="19"/>
        <v>7539515</v>
      </c>
    </row>
    <row r="115" spans="1:11" x14ac:dyDescent="0.25">
      <c r="A115" s="145" t="s">
        <v>334</v>
      </c>
      <c r="B115" s="190"/>
      <c r="C115" s="81">
        <v>90708</v>
      </c>
      <c r="D115" s="81"/>
      <c r="E115" s="80"/>
      <c r="F115" s="81"/>
      <c r="G115" s="80"/>
      <c r="H115" s="80"/>
      <c r="I115" s="80"/>
      <c r="J115" s="8">
        <f t="shared" si="17"/>
        <v>90708</v>
      </c>
      <c r="K115" s="9">
        <f t="shared" si="19"/>
        <v>7630223</v>
      </c>
    </row>
    <row r="116" spans="1:11" x14ac:dyDescent="0.25">
      <c r="A116" s="227" t="s">
        <v>335</v>
      </c>
      <c r="B116" s="279"/>
      <c r="C116" s="203">
        <v>90708</v>
      </c>
      <c r="D116" s="176"/>
      <c r="E116" s="176"/>
      <c r="F116" s="185"/>
      <c r="G116" s="176"/>
      <c r="H116" s="176"/>
      <c r="I116" s="176"/>
      <c r="J116" s="8">
        <f t="shared" si="17"/>
        <v>90708</v>
      </c>
      <c r="K116" s="9">
        <f t="shared" si="19"/>
        <v>7720931</v>
      </c>
    </row>
    <row r="117" spans="1:11" ht="15.75" thickBot="1" x14ac:dyDescent="0.3">
      <c r="A117" s="213" t="s">
        <v>336</v>
      </c>
      <c r="B117" s="299"/>
      <c r="C117" s="214">
        <v>90708</v>
      </c>
      <c r="D117" s="194"/>
      <c r="E117" s="199"/>
      <c r="F117" s="199"/>
      <c r="G117" s="199"/>
      <c r="H117" s="199"/>
      <c r="I117" s="199"/>
      <c r="J117" s="10">
        <f t="shared" si="17"/>
        <v>90708</v>
      </c>
      <c r="K117" s="11">
        <f t="shared" si="19"/>
        <v>7811639</v>
      </c>
    </row>
    <row r="118" spans="1:11" ht="15.75" thickBot="1" x14ac:dyDescent="0.3">
      <c r="A118" s="36" t="s">
        <v>61</v>
      </c>
      <c r="B118" s="193"/>
      <c r="C118" s="15">
        <f>SUM(C103:C117)</f>
        <v>7151924</v>
      </c>
      <c r="D118" s="15">
        <f t="shared" ref="D118:I118" si="20">SUM(D103:D117)</f>
        <v>659715</v>
      </c>
      <c r="E118" s="15">
        <f t="shared" si="20"/>
        <v>0</v>
      </c>
      <c r="F118" s="15">
        <f t="shared" si="20"/>
        <v>0</v>
      </c>
      <c r="G118" s="15">
        <f t="shared" si="20"/>
        <v>0</v>
      </c>
      <c r="H118" s="15">
        <f t="shared" si="20"/>
        <v>0</v>
      </c>
      <c r="I118" s="15">
        <f t="shared" si="20"/>
        <v>0</v>
      </c>
      <c r="J118" s="15">
        <f>SUM(J104:J117)</f>
        <v>1184204</v>
      </c>
      <c r="K118" s="14">
        <f>SUM(K117)</f>
        <v>7811639</v>
      </c>
    </row>
    <row r="119" spans="1:11" x14ac:dyDescent="0.25">
      <c r="A119" t="s">
        <v>5</v>
      </c>
    </row>
    <row r="123" spans="1:11" x14ac:dyDescent="0.25">
      <c r="A123" t="s">
        <v>9</v>
      </c>
      <c r="E123" t="s">
        <v>50</v>
      </c>
      <c r="I123" t="s">
        <v>14</v>
      </c>
    </row>
    <row r="124" spans="1:11" x14ac:dyDescent="0.25">
      <c r="A124" t="s">
        <v>44</v>
      </c>
    </row>
    <row r="125" spans="1:11" x14ac:dyDescent="0.25">
      <c r="E125" t="s">
        <v>13</v>
      </c>
      <c r="F125" s="13">
        <v>6010</v>
      </c>
      <c r="I125" t="s">
        <v>75</v>
      </c>
    </row>
    <row r="126" spans="1:11" x14ac:dyDescent="0.25">
      <c r="E126" t="s">
        <v>6</v>
      </c>
      <c r="F126" s="13" t="s">
        <v>7</v>
      </c>
    </row>
    <row r="127" spans="1:11" ht="15.75" thickBot="1" x14ac:dyDescent="0.3"/>
    <row r="128" spans="1:11" ht="30.75" thickBot="1" x14ac:dyDescent="0.3">
      <c r="A128" s="75" t="s">
        <v>42</v>
      </c>
      <c r="B128" s="165"/>
      <c r="C128" s="45">
        <v>1</v>
      </c>
      <c r="D128" s="45">
        <v>2</v>
      </c>
      <c r="E128" s="45">
        <v>3</v>
      </c>
      <c r="F128" s="45">
        <v>4</v>
      </c>
      <c r="G128" s="45">
        <v>5</v>
      </c>
      <c r="H128" s="45"/>
      <c r="I128" s="45">
        <v>7</v>
      </c>
      <c r="J128" s="51" t="s">
        <v>16</v>
      </c>
      <c r="K128" s="139" t="s">
        <v>17</v>
      </c>
    </row>
    <row r="129" spans="1:11" x14ac:dyDescent="0.25">
      <c r="A129" s="76" t="s">
        <v>43</v>
      </c>
      <c r="B129" s="166"/>
      <c r="C129" s="35">
        <f>+C118</f>
        <v>7151924</v>
      </c>
      <c r="D129" s="35">
        <f t="shared" ref="D129:K129" si="21">+D118</f>
        <v>659715</v>
      </c>
      <c r="E129" s="35">
        <f t="shared" si="21"/>
        <v>0</v>
      </c>
      <c r="F129" s="35">
        <f t="shared" si="21"/>
        <v>0</v>
      </c>
      <c r="G129" s="35">
        <f t="shared" si="21"/>
        <v>0</v>
      </c>
      <c r="H129" s="35">
        <f t="shared" si="21"/>
        <v>0</v>
      </c>
      <c r="I129" s="35">
        <f t="shared" si="21"/>
        <v>0</v>
      </c>
      <c r="J129" s="35">
        <f t="shared" si="21"/>
        <v>1184204</v>
      </c>
      <c r="K129" s="35">
        <f t="shared" si="21"/>
        <v>7811639</v>
      </c>
    </row>
    <row r="130" spans="1:11" x14ac:dyDescent="0.25">
      <c r="A130" s="256" t="s">
        <v>337</v>
      </c>
      <c r="B130" s="279"/>
      <c r="C130" s="8">
        <v>90708</v>
      </c>
      <c r="D130" s="16"/>
      <c r="E130" s="185"/>
      <c r="F130" s="176"/>
      <c r="G130" s="176"/>
      <c r="H130" s="16"/>
      <c r="I130" s="16"/>
      <c r="J130" s="8">
        <f t="shared" ref="J130:J135" si="22">SUM(C130:I130)</f>
        <v>90708</v>
      </c>
      <c r="K130" s="9">
        <f>+K129+J130</f>
        <v>7902347</v>
      </c>
    </row>
    <row r="131" spans="1:11" x14ac:dyDescent="0.25">
      <c r="A131" s="227" t="s">
        <v>338</v>
      </c>
      <c r="B131" s="279"/>
      <c r="C131" s="8">
        <v>90708</v>
      </c>
      <c r="D131" s="8"/>
      <c r="E131" s="185"/>
      <c r="F131" s="176"/>
      <c r="G131" s="176"/>
      <c r="H131" s="16"/>
      <c r="I131" s="16"/>
      <c r="J131" s="8">
        <f t="shared" si="22"/>
        <v>90708</v>
      </c>
      <c r="K131" s="9">
        <f>+K130+J131</f>
        <v>7993055</v>
      </c>
    </row>
    <row r="132" spans="1:11" x14ac:dyDescent="0.25">
      <c r="A132" s="145" t="s">
        <v>353</v>
      </c>
      <c r="B132" s="191"/>
      <c r="C132" s="81">
        <v>16755</v>
      </c>
      <c r="D132" s="81"/>
      <c r="E132" s="81"/>
      <c r="F132" s="81"/>
      <c r="G132" s="81"/>
      <c r="H132" s="81"/>
      <c r="I132" s="80"/>
      <c r="J132" s="8">
        <f t="shared" si="22"/>
        <v>16755</v>
      </c>
      <c r="K132" s="9">
        <f>+K131+J132</f>
        <v>8009810</v>
      </c>
    </row>
    <row r="133" spans="1:11" x14ac:dyDescent="0.25">
      <c r="A133" s="256" t="s">
        <v>359</v>
      </c>
      <c r="B133" s="257"/>
      <c r="C133" s="258">
        <v>70425</v>
      </c>
      <c r="D133" s="258"/>
      <c r="E133" s="258"/>
      <c r="F133" s="258"/>
      <c r="G133" s="258"/>
      <c r="H133" s="177"/>
      <c r="I133" s="177"/>
      <c r="J133" s="8">
        <f t="shared" si="22"/>
        <v>70425</v>
      </c>
      <c r="K133" s="9">
        <f>+K132+J133</f>
        <v>8080235</v>
      </c>
    </row>
    <row r="134" spans="1:11" ht="15.75" thickBot="1" x14ac:dyDescent="0.3">
      <c r="A134" s="213" t="s">
        <v>365</v>
      </c>
      <c r="B134" s="299"/>
      <c r="C134" s="214"/>
      <c r="D134" s="214">
        <v>162225</v>
      </c>
      <c r="E134" s="214"/>
      <c r="F134" s="214"/>
      <c r="G134" s="199"/>
      <c r="H134" s="199"/>
      <c r="I134" s="199"/>
      <c r="J134" s="10">
        <f t="shared" si="22"/>
        <v>162225</v>
      </c>
      <c r="K134" s="11">
        <f>+K133+J134</f>
        <v>8242460</v>
      </c>
    </row>
    <row r="135" spans="1:11" x14ac:dyDescent="0.25">
      <c r="A135" s="79" t="s">
        <v>60</v>
      </c>
      <c r="B135" s="190"/>
      <c r="C135" s="324">
        <f>SUM(C129:C134)</f>
        <v>7420520</v>
      </c>
      <c r="D135" s="324">
        <f t="shared" ref="D135:I135" si="23">SUM(D129:D134)</f>
        <v>821940</v>
      </c>
      <c r="E135" s="324">
        <f t="shared" si="23"/>
        <v>0</v>
      </c>
      <c r="F135" s="324">
        <f t="shared" si="23"/>
        <v>0</v>
      </c>
      <c r="G135" s="324">
        <f t="shared" si="23"/>
        <v>0</v>
      </c>
      <c r="H135" s="324">
        <f t="shared" si="23"/>
        <v>0</v>
      </c>
      <c r="I135" s="324">
        <f t="shared" si="23"/>
        <v>0</v>
      </c>
      <c r="J135" s="80">
        <f t="shared" si="22"/>
        <v>8242460</v>
      </c>
      <c r="K135" s="82">
        <f>K134</f>
        <v>8242460</v>
      </c>
    </row>
    <row r="136" spans="1:11" x14ac:dyDescent="0.25">
      <c r="A136" s="145" t="s">
        <v>378</v>
      </c>
      <c r="B136" s="190"/>
      <c r="C136" s="81">
        <v>5000</v>
      </c>
      <c r="D136" s="80"/>
      <c r="E136" s="80"/>
      <c r="F136" s="80"/>
      <c r="G136" s="80"/>
      <c r="H136" s="80"/>
      <c r="I136" s="80">
        <f>SUM(I129:I135)</f>
        <v>0</v>
      </c>
      <c r="J136" s="81">
        <f>SUM(C136:I136)</f>
        <v>5000</v>
      </c>
      <c r="K136" s="100">
        <f>K135+J136</f>
        <v>8247460</v>
      </c>
    </row>
    <row r="137" spans="1:11" x14ac:dyDescent="0.25">
      <c r="A137" s="460" t="s">
        <v>388</v>
      </c>
      <c r="B137" s="167"/>
      <c r="C137" s="8">
        <v>90708</v>
      </c>
      <c r="D137" s="8"/>
      <c r="E137" s="16"/>
      <c r="F137" s="16"/>
      <c r="G137" s="8"/>
      <c r="H137" s="16"/>
      <c r="I137" s="16"/>
      <c r="J137" s="81">
        <f t="shared" ref="J137:J149" si="24">SUM(C137:I137)</f>
        <v>90708</v>
      </c>
      <c r="K137" s="100">
        <f t="shared" ref="K137:K149" si="25">K136+J137</f>
        <v>8338168</v>
      </c>
    </row>
    <row r="138" spans="1:11" x14ac:dyDescent="0.25">
      <c r="A138" s="200" t="s">
        <v>389</v>
      </c>
      <c r="B138" s="167"/>
      <c r="C138" s="8">
        <v>90708</v>
      </c>
      <c r="D138" s="8"/>
      <c r="E138" s="8"/>
      <c r="F138" s="8"/>
      <c r="G138" s="8"/>
      <c r="H138" s="8"/>
      <c r="I138" s="8"/>
      <c r="J138" s="81">
        <f t="shared" si="24"/>
        <v>90708</v>
      </c>
      <c r="K138" s="100">
        <f t="shared" si="25"/>
        <v>8428876</v>
      </c>
    </row>
    <row r="139" spans="1:11" x14ac:dyDescent="0.25">
      <c r="A139" s="62" t="s">
        <v>390</v>
      </c>
      <c r="B139" s="167"/>
      <c r="C139" s="8">
        <v>90708</v>
      </c>
      <c r="D139" s="8"/>
      <c r="E139" s="8"/>
      <c r="F139" s="8"/>
      <c r="G139" s="8"/>
      <c r="H139" s="8"/>
      <c r="I139" s="8"/>
      <c r="J139" s="81">
        <f t="shared" si="24"/>
        <v>90708</v>
      </c>
      <c r="K139" s="100">
        <f t="shared" si="25"/>
        <v>8519584</v>
      </c>
    </row>
    <row r="140" spans="1:11" x14ac:dyDescent="0.25">
      <c r="A140" s="61" t="s">
        <v>391</v>
      </c>
      <c r="B140" s="168"/>
      <c r="C140" s="8">
        <v>90708</v>
      </c>
      <c r="D140" s="8"/>
      <c r="E140" s="8"/>
      <c r="F140" s="8"/>
      <c r="G140" s="8"/>
      <c r="H140" s="8"/>
      <c r="I140" s="8"/>
      <c r="J140" s="81">
        <f t="shared" si="24"/>
        <v>90708</v>
      </c>
      <c r="K140" s="100">
        <f t="shared" si="25"/>
        <v>8610292</v>
      </c>
    </row>
    <row r="141" spans="1:11" x14ac:dyDescent="0.25">
      <c r="A141" s="226" t="s">
        <v>392</v>
      </c>
      <c r="B141" s="205"/>
      <c r="C141" s="78">
        <v>90708</v>
      </c>
      <c r="D141" s="78"/>
      <c r="E141" s="78"/>
      <c r="F141" s="78"/>
      <c r="G141" s="78"/>
      <c r="H141" s="78"/>
      <c r="I141" s="78"/>
      <c r="J141" s="81">
        <f t="shared" si="24"/>
        <v>90708</v>
      </c>
      <c r="K141" s="100">
        <f t="shared" si="25"/>
        <v>8701000</v>
      </c>
    </row>
    <row r="142" spans="1:11" x14ac:dyDescent="0.25">
      <c r="A142" s="62" t="s">
        <v>393</v>
      </c>
      <c r="B142" s="167"/>
      <c r="C142" s="8">
        <v>90708</v>
      </c>
      <c r="D142" s="8"/>
      <c r="E142" s="8"/>
      <c r="F142" s="8"/>
      <c r="G142" s="8"/>
      <c r="H142" s="8"/>
      <c r="I142" s="8"/>
      <c r="J142" s="81">
        <f t="shared" si="24"/>
        <v>90708</v>
      </c>
      <c r="K142" s="100">
        <f t="shared" si="25"/>
        <v>8791708</v>
      </c>
    </row>
    <row r="143" spans="1:11" x14ac:dyDescent="0.25">
      <c r="A143" s="62" t="s">
        <v>394</v>
      </c>
      <c r="B143" s="167"/>
      <c r="C143" s="8">
        <v>90708</v>
      </c>
      <c r="D143" s="8"/>
      <c r="E143" s="8"/>
      <c r="F143" s="16"/>
      <c r="G143" s="16"/>
      <c r="H143" s="16"/>
      <c r="I143" s="16"/>
      <c r="J143" s="81">
        <f t="shared" si="24"/>
        <v>90708</v>
      </c>
      <c r="K143" s="100">
        <f t="shared" si="25"/>
        <v>8882416</v>
      </c>
    </row>
    <row r="144" spans="1:11" x14ac:dyDescent="0.25">
      <c r="A144" s="62" t="s">
        <v>395</v>
      </c>
      <c r="B144" s="200"/>
      <c r="C144" s="8">
        <v>90708</v>
      </c>
      <c r="D144" s="8"/>
      <c r="E144" s="16"/>
      <c r="F144" s="8"/>
      <c r="G144" s="16"/>
      <c r="H144" s="16"/>
      <c r="I144" s="16"/>
      <c r="J144" s="81">
        <f t="shared" si="24"/>
        <v>90708</v>
      </c>
      <c r="K144" s="100">
        <f t="shared" si="25"/>
        <v>8973124</v>
      </c>
    </row>
    <row r="145" spans="1:11" x14ac:dyDescent="0.25">
      <c r="A145" s="145" t="s">
        <v>396</v>
      </c>
      <c r="B145" s="191"/>
      <c r="C145" s="81">
        <v>90708</v>
      </c>
      <c r="D145" s="81"/>
      <c r="E145" s="81"/>
      <c r="F145" s="81"/>
      <c r="G145" s="81"/>
      <c r="H145" s="81"/>
      <c r="I145" s="81"/>
      <c r="J145" s="81">
        <f t="shared" si="24"/>
        <v>90708</v>
      </c>
      <c r="K145" s="100">
        <f t="shared" si="25"/>
        <v>9063832</v>
      </c>
    </row>
    <row r="146" spans="1:11" x14ac:dyDescent="0.25">
      <c r="A146" s="206" t="s">
        <v>397</v>
      </c>
      <c r="B146" s="207"/>
      <c r="C146" s="81">
        <v>90708</v>
      </c>
      <c r="D146" s="81"/>
      <c r="E146" s="81"/>
      <c r="F146" s="81"/>
      <c r="G146" s="81"/>
      <c r="H146" s="81"/>
      <c r="I146" s="81"/>
      <c r="J146" s="81">
        <f t="shared" si="24"/>
        <v>90708</v>
      </c>
      <c r="K146" s="100">
        <f t="shared" si="25"/>
        <v>9154540</v>
      </c>
    </row>
    <row r="147" spans="1:11" x14ac:dyDescent="0.25">
      <c r="A147" s="62" t="s">
        <v>398</v>
      </c>
      <c r="B147" s="171"/>
      <c r="C147" s="8">
        <v>90708</v>
      </c>
      <c r="D147" s="8"/>
      <c r="E147" s="16"/>
      <c r="F147" s="8"/>
      <c r="G147" s="16"/>
      <c r="H147" s="16"/>
      <c r="I147" s="16"/>
      <c r="J147" s="81">
        <f t="shared" si="24"/>
        <v>90708</v>
      </c>
      <c r="K147" s="100">
        <f t="shared" si="25"/>
        <v>9245248</v>
      </c>
    </row>
    <row r="148" spans="1:11" x14ac:dyDescent="0.25">
      <c r="A148" s="79" t="s">
        <v>399</v>
      </c>
      <c r="B148" s="190"/>
      <c r="C148" s="80">
        <v>90708</v>
      </c>
      <c r="D148" s="80"/>
      <c r="E148" s="80"/>
      <c r="F148" s="80"/>
      <c r="G148" s="80"/>
      <c r="H148" s="80"/>
      <c r="I148" s="80">
        <f>SUM(I136:I147)</f>
        <v>0</v>
      </c>
      <c r="J148" s="81">
        <f t="shared" si="24"/>
        <v>90708</v>
      </c>
      <c r="K148" s="100">
        <f t="shared" si="25"/>
        <v>9335956</v>
      </c>
    </row>
    <row r="149" spans="1:11" ht="15.75" thickBot="1" x14ac:dyDescent="0.3">
      <c r="A149" s="222" t="s">
        <v>400</v>
      </c>
      <c r="B149" s="198"/>
      <c r="C149" s="194">
        <v>90708</v>
      </c>
      <c r="D149" s="194"/>
      <c r="E149" s="199"/>
      <c r="F149" s="199"/>
      <c r="G149" s="199"/>
      <c r="H149" s="199"/>
      <c r="I149" s="199"/>
      <c r="J149" s="10">
        <f t="shared" si="24"/>
        <v>90708</v>
      </c>
      <c r="K149" s="11">
        <f t="shared" si="25"/>
        <v>9426664</v>
      </c>
    </row>
    <row r="150" spans="1:11" ht="15.75" thickBot="1" x14ac:dyDescent="0.3">
      <c r="A150" s="36" t="s">
        <v>61</v>
      </c>
      <c r="B150" s="193"/>
      <c r="C150" s="15">
        <f>SUM(C135:C149)</f>
        <v>8604724</v>
      </c>
      <c r="D150" s="15">
        <f t="shared" ref="D150:I150" si="26">SUM(D135:D149)</f>
        <v>821940</v>
      </c>
      <c r="E150" s="15">
        <f t="shared" si="26"/>
        <v>0</v>
      </c>
      <c r="F150" s="15">
        <f t="shared" si="26"/>
        <v>0</v>
      </c>
      <c r="G150" s="15">
        <f t="shared" si="26"/>
        <v>0</v>
      </c>
      <c r="H150" s="15">
        <f t="shared" si="26"/>
        <v>0</v>
      </c>
      <c r="I150" s="15">
        <f t="shared" si="26"/>
        <v>0</v>
      </c>
      <c r="J150" s="15">
        <f>SUM(J136:J149)</f>
        <v>1184204</v>
      </c>
      <c r="K150" s="14">
        <f>K149</f>
        <v>9426664</v>
      </c>
    </row>
    <row r="151" spans="1:11" x14ac:dyDescent="0.25">
      <c r="A151" t="s">
        <v>5</v>
      </c>
    </row>
    <row r="153" spans="1:11" x14ac:dyDescent="0.25">
      <c r="A153" s="98" t="s">
        <v>67</v>
      </c>
      <c r="B153" s="98"/>
      <c r="C153" s="327">
        <f t="shared" ref="C153:I153" si="27">+C7-C148</f>
        <v>25573292</v>
      </c>
      <c r="D153" s="327">
        <f t="shared" si="27"/>
        <v>2751000</v>
      </c>
      <c r="E153" s="327">
        <f t="shared" si="27"/>
        <v>1500000</v>
      </c>
      <c r="F153" s="327">
        <f t="shared" si="27"/>
        <v>1200000</v>
      </c>
      <c r="G153" s="327">
        <f t="shared" si="27"/>
        <v>7500000</v>
      </c>
      <c r="H153" s="327">
        <f t="shared" si="27"/>
        <v>0</v>
      </c>
      <c r="I153" s="327">
        <f t="shared" si="27"/>
        <v>200000</v>
      </c>
      <c r="J153" s="327"/>
      <c r="K153" s="327">
        <f>+K7-K148</f>
        <v>29479044</v>
      </c>
    </row>
    <row r="155" spans="1:11" x14ac:dyDescent="0.25">
      <c r="A155" t="s">
        <v>9</v>
      </c>
      <c r="E155" t="s">
        <v>50</v>
      </c>
      <c r="I155" t="s">
        <v>45</v>
      </c>
    </row>
    <row r="156" spans="1:11" x14ac:dyDescent="0.25">
      <c r="A156" t="s">
        <v>44</v>
      </c>
    </row>
    <row r="157" spans="1:11" x14ac:dyDescent="0.25">
      <c r="E157" t="s">
        <v>13</v>
      </c>
      <c r="F157" s="13">
        <v>6010</v>
      </c>
      <c r="I157" t="s">
        <v>75</v>
      </c>
    </row>
    <row r="158" spans="1:11" ht="15.75" thickBot="1" x14ac:dyDescent="0.3">
      <c r="E158" t="s">
        <v>6</v>
      </c>
      <c r="F158" s="13" t="s">
        <v>7</v>
      </c>
    </row>
    <row r="159" spans="1:11" ht="30.75" thickBot="1" x14ac:dyDescent="0.3">
      <c r="A159" s="75" t="s">
        <v>42</v>
      </c>
      <c r="B159" s="165"/>
      <c r="C159" s="45">
        <v>1</v>
      </c>
      <c r="D159" s="45">
        <v>2</v>
      </c>
      <c r="E159" s="45">
        <v>3</v>
      </c>
      <c r="F159" s="45">
        <v>4</v>
      </c>
      <c r="G159" s="45">
        <v>5</v>
      </c>
      <c r="H159" s="45"/>
      <c r="I159" s="45">
        <v>7</v>
      </c>
      <c r="J159" s="51" t="s">
        <v>16</v>
      </c>
      <c r="K159" s="139" t="s">
        <v>17</v>
      </c>
    </row>
    <row r="160" spans="1:11" x14ac:dyDescent="0.25">
      <c r="A160" s="76" t="s">
        <v>43</v>
      </c>
      <c r="B160" s="166"/>
      <c r="C160" s="35">
        <f t="shared" ref="C160:I160" si="28">+C150</f>
        <v>8604724</v>
      </c>
      <c r="D160" s="35">
        <f t="shared" si="28"/>
        <v>821940</v>
      </c>
      <c r="E160" s="35">
        <f t="shared" si="28"/>
        <v>0</v>
      </c>
      <c r="F160" s="35">
        <f t="shared" si="28"/>
        <v>0</v>
      </c>
      <c r="G160" s="35">
        <f t="shared" si="28"/>
        <v>0</v>
      </c>
      <c r="H160" s="35">
        <f t="shared" si="28"/>
        <v>0</v>
      </c>
      <c r="I160" s="35">
        <f t="shared" si="28"/>
        <v>0</v>
      </c>
      <c r="J160" s="35">
        <f>J150</f>
        <v>1184204</v>
      </c>
      <c r="K160" s="35">
        <f>K150</f>
        <v>9426664</v>
      </c>
    </row>
    <row r="161" spans="1:11" x14ac:dyDescent="0.25">
      <c r="A161" s="256" t="s">
        <v>401</v>
      </c>
      <c r="B161" s="279"/>
      <c r="C161" s="8">
        <v>90708</v>
      </c>
      <c r="D161" s="16"/>
      <c r="E161" s="185"/>
      <c r="F161" s="176"/>
      <c r="G161" s="176"/>
      <c r="H161" s="16"/>
      <c r="I161" s="8"/>
      <c r="J161" s="8">
        <f>SUM(C161:I161)</f>
        <v>90708</v>
      </c>
      <c r="K161" s="9">
        <f>+K160+J161</f>
        <v>9517372</v>
      </c>
    </row>
    <row r="162" spans="1:11" x14ac:dyDescent="0.25">
      <c r="A162" s="227" t="s">
        <v>402</v>
      </c>
      <c r="B162" s="279"/>
      <c r="C162" s="8">
        <v>90708</v>
      </c>
      <c r="D162" s="8"/>
      <c r="E162" s="203"/>
      <c r="F162" s="176"/>
      <c r="G162" s="176"/>
      <c r="H162" s="16"/>
      <c r="I162" s="16"/>
      <c r="J162" s="8">
        <f>SUM(C162:I162)</f>
        <v>90708</v>
      </c>
      <c r="K162" s="9">
        <f>+K161+J162</f>
        <v>9608080</v>
      </c>
    </row>
    <row r="163" spans="1:11" x14ac:dyDescent="0.25">
      <c r="A163" s="145" t="s">
        <v>421</v>
      </c>
      <c r="B163" s="191"/>
      <c r="C163" s="81">
        <v>16755</v>
      </c>
      <c r="D163" s="81"/>
      <c r="E163" s="81"/>
      <c r="F163" s="81"/>
      <c r="G163" s="81"/>
      <c r="H163" s="81"/>
      <c r="I163" s="80"/>
      <c r="J163" s="8">
        <f>SUM(C163:I163)</f>
        <v>16755</v>
      </c>
      <c r="K163" s="9">
        <f>+K162+J163</f>
        <v>9624835</v>
      </c>
    </row>
    <row r="164" spans="1:11" x14ac:dyDescent="0.25">
      <c r="A164" s="256" t="s">
        <v>427</v>
      </c>
      <c r="B164" s="257"/>
      <c r="C164" s="258">
        <v>70425</v>
      </c>
      <c r="D164" s="258"/>
      <c r="E164" s="258"/>
      <c r="F164" s="258"/>
      <c r="G164" s="258"/>
      <c r="H164" s="177"/>
      <c r="I164" s="177"/>
      <c r="J164" s="8">
        <f>SUM(C164:I164)</f>
        <v>70425</v>
      </c>
      <c r="K164" s="9">
        <f>+K163+J164</f>
        <v>9695260</v>
      </c>
    </row>
    <row r="165" spans="1:11" ht="15.75" thickBot="1" x14ac:dyDescent="0.3">
      <c r="A165" s="213" t="s">
        <v>433</v>
      </c>
      <c r="B165" s="299"/>
      <c r="C165" s="214"/>
      <c r="D165" s="214">
        <v>162225</v>
      </c>
      <c r="E165" s="214"/>
      <c r="F165" s="214"/>
      <c r="G165" s="214"/>
      <c r="H165" s="199"/>
      <c r="I165" s="199"/>
      <c r="J165" s="10">
        <f>SUM(C165:I165)</f>
        <v>162225</v>
      </c>
      <c r="K165" s="11">
        <f>+K164+J165</f>
        <v>9857485</v>
      </c>
    </row>
    <row r="166" spans="1:11" x14ac:dyDescent="0.25">
      <c r="A166" s="469" t="s">
        <v>64</v>
      </c>
      <c r="B166" s="498"/>
      <c r="C166" s="266">
        <f t="shared" ref="C166:H166" si="29">SUM(C160:C165)</f>
        <v>8873320</v>
      </c>
      <c r="D166" s="266">
        <f t="shared" si="29"/>
        <v>984165</v>
      </c>
      <c r="E166" s="266">
        <f t="shared" si="29"/>
        <v>0</v>
      </c>
      <c r="F166" s="266">
        <f t="shared" si="29"/>
        <v>0</v>
      </c>
      <c r="G166" s="266">
        <f t="shared" si="29"/>
        <v>0</v>
      </c>
      <c r="H166" s="266">
        <f t="shared" si="29"/>
        <v>0</v>
      </c>
      <c r="I166" s="220"/>
      <c r="J166" s="80">
        <f>SUM(J160:J165)</f>
        <v>1615025</v>
      </c>
      <c r="K166" s="82">
        <f>+K165</f>
        <v>9857485</v>
      </c>
    </row>
    <row r="167" spans="1:11" x14ac:dyDescent="0.25">
      <c r="A167" s="336" t="s">
        <v>445</v>
      </c>
      <c r="B167" s="337"/>
      <c r="C167" s="338">
        <v>5000</v>
      </c>
      <c r="D167" s="338"/>
      <c r="E167" s="338"/>
      <c r="F167" s="338"/>
      <c r="G167" s="338"/>
      <c r="H167" s="317"/>
      <c r="I167" s="317"/>
      <c r="J167" s="8">
        <f>SUM(C167:I167)</f>
        <v>5000</v>
      </c>
      <c r="K167" s="9">
        <f>+K166+J167</f>
        <v>9862485</v>
      </c>
    </row>
    <row r="168" spans="1:11" x14ac:dyDescent="0.25">
      <c r="A168" s="336" t="s">
        <v>455</v>
      </c>
      <c r="B168" s="337"/>
      <c r="C168" s="338">
        <v>90708</v>
      </c>
      <c r="D168" s="338"/>
      <c r="E168" s="338"/>
      <c r="F168" s="338"/>
      <c r="G168" s="338"/>
      <c r="H168" s="317"/>
      <c r="I168" s="317"/>
      <c r="J168" s="8">
        <f t="shared" ref="J168:J182" si="30">SUM(C168:I168)</f>
        <v>90708</v>
      </c>
      <c r="K168" s="9">
        <f t="shared" ref="K168:K182" si="31">+K167+J168</f>
        <v>9953193</v>
      </c>
    </row>
    <row r="169" spans="1:11" x14ac:dyDescent="0.25">
      <c r="A169" s="336" t="s">
        <v>456</v>
      </c>
      <c r="B169" s="337"/>
      <c r="C169" s="338">
        <v>90708</v>
      </c>
      <c r="D169" s="338"/>
      <c r="E169" s="338"/>
      <c r="F169" s="338"/>
      <c r="G169" s="338"/>
      <c r="H169" s="317"/>
      <c r="I169" s="317"/>
      <c r="J169" s="8">
        <f t="shared" si="30"/>
        <v>90708</v>
      </c>
      <c r="K169" s="9">
        <f t="shared" si="31"/>
        <v>10043901</v>
      </c>
    </row>
    <row r="170" spans="1:11" x14ac:dyDescent="0.25">
      <c r="A170" s="336" t="s">
        <v>457</v>
      </c>
      <c r="B170" s="337"/>
      <c r="C170" s="338">
        <v>90708</v>
      </c>
      <c r="D170" s="338"/>
      <c r="E170" s="338"/>
      <c r="F170" s="338"/>
      <c r="G170" s="338"/>
      <c r="H170" s="317"/>
      <c r="I170" s="317"/>
      <c r="J170" s="8">
        <f t="shared" si="30"/>
        <v>90708</v>
      </c>
      <c r="K170" s="9">
        <f t="shared" si="31"/>
        <v>10134609</v>
      </c>
    </row>
    <row r="171" spans="1:11" x14ac:dyDescent="0.25">
      <c r="A171" s="336" t="s">
        <v>458</v>
      </c>
      <c r="B171" s="337"/>
      <c r="C171" s="338">
        <v>90708</v>
      </c>
      <c r="D171" s="338"/>
      <c r="E171" s="338"/>
      <c r="F171" s="338"/>
      <c r="G171" s="338"/>
      <c r="H171" s="317"/>
      <c r="I171" s="317"/>
      <c r="J171" s="8">
        <f t="shared" si="30"/>
        <v>90708</v>
      </c>
      <c r="K171" s="9">
        <f t="shared" si="31"/>
        <v>10225317</v>
      </c>
    </row>
    <row r="172" spans="1:11" x14ac:dyDescent="0.25">
      <c r="A172" s="336" t="s">
        <v>459</v>
      </c>
      <c r="B172" s="337"/>
      <c r="C172" s="338">
        <v>90708</v>
      </c>
      <c r="D172" s="338"/>
      <c r="E172" s="338"/>
      <c r="F172" s="338"/>
      <c r="G172" s="338"/>
      <c r="H172" s="317"/>
      <c r="I172" s="317"/>
      <c r="J172" s="8">
        <f t="shared" si="30"/>
        <v>90708</v>
      </c>
      <c r="K172" s="9">
        <f t="shared" si="31"/>
        <v>10316025</v>
      </c>
    </row>
    <row r="173" spans="1:11" x14ac:dyDescent="0.25">
      <c r="A173" s="336" t="s">
        <v>460</v>
      </c>
      <c r="B173" s="337"/>
      <c r="C173" s="338">
        <v>90708</v>
      </c>
      <c r="D173" s="338"/>
      <c r="E173" s="338"/>
      <c r="F173" s="338"/>
      <c r="G173" s="338"/>
      <c r="H173" s="317"/>
      <c r="I173" s="317"/>
      <c r="J173" s="8">
        <f t="shared" si="30"/>
        <v>90708</v>
      </c>
      <c r="K173" s="9">
        <f t="shared" si="31"/>
        <v>10406733</v>
      </c>
    </row>
    <row r="174" spans="1:11" x14ac:dyDescent="0.25">
      <c r="A174" s="336" t="s">
        <v>461</v>
      </c>
      <c r="B174" s="337"/>
      <c r="C174" s="338">
        <v>90708</v>
      </c>
      <c r="D174" s="338"/>
      <c r="E174" s="338"/>
      <c r="F174" s="338"/>
      <c r="G174" s="338"/>
      <c r="H174" s="317"/>
      <c r="I174" s="317"/>
      <c r="J174" s="8">
        <f t="shared" si="30"/>
        <v>90708</v>
      </c>
      <c r="K174" s="9">
        <f t="shared" si="31"/>
        <v>10497441</v>
      </c>
    </row>
    <row r="175" spans="1:11" x14ac:dyDescent="0.25">
      <c r="A175" s="336" t="s">
        <v>462</v>
      </c>
      <c r="B175" s="337"/>
      <c r="C175" s="338">
        <v>90708</v>
      </c>
      <c r="D175" s="338"/>
      <c r="E175" s="338"/>
      <c r="F175" s="338"/>
      <c r="G175" s="338"/>
      <c r="H175" s="317"/>
      <c r="I175" s="317"/>
      <c r="J175" s="8">
        <f t="shared" si="30"/>
        <v>90708</v>
      </c>
      <c r="K175" s="9">
        <f t="shared" si="31"/>
        <v>10588149</v>
      </c>
    </row>
    <row r="176" spans="1:11" x14ac:dyDescent="0.25">
      <c r="A176" s="336" t="s">
        <v>463</v>
      </c>
      <c r="B176" s="337"/>
      <c r="C176" s="338">
        <v>90708</v>
      </c>
      <c r="D176" s="338"/>
      <c r="E176" s="338"/>
      <c r="F176" s="338"/>
      <c r="G176" s="338"/>
      <c r="H176" s="317"/>
      <c r="I176" s="317"/>
      <c r="J176" s="8">
        <f t="shared" si="30"/>
        <v>90708</v>
      </c>
      <c r="K176" s="9">
        <f t="shared" si="31"/>
        <v>10678857</v>
      </c>
    </row>
    <row r="177" spans="1:11" x14ac:dyDescent="0.25">
      <c r="A177" s="200" t="s">
        <v>464</v>
      </c>
      <c r="B177" s="200"/>
      <c r="C177" s="201">
        <v>90708</v>
      </c>
      <c r="D177" s="201"/>
      <c r="E177" s="201"/>
      <c r="F177" s="234"/>
      <c r="G177" s="201"/>
      <c r="H177" s="201"/>
      <c r="I177" s="201"/>
      <c r="J177" s="8">
        <f t="shared" si="30"/>
        <v>90708</v>
      </c>
      <c r="K177" s="9">
        <f t="shared" si="31"/>
        <v>10769565</v>
      </c>
    </row>
    <row r="178" spans="1:11" x14ac:dyDescent="0.25">
      <c r="A178" s="200" t="s">
        <v>465</v>
      </c>
      <c r="B178" s="200"/>
      <c r="C178" s="8">
        <v>90708</v>
      </c>
      <c r="D178" s="8"/>
      <c r="E178" s="8"/>
      <c r="F178" s="8"/>
      <c r="G178" s="8"/>
      <c r="H178" s="8"/>
      <c r="I178" s="8"/>
      <c r="J178" s="8">
        <f t="shared" si="30"/>
        <v>90708</v>
      </c>
      <c r="K178" s="9">
        <f t="shared" si="31"/>
        <v>10860273</v>
      </c>
    </row>
    <row r="179" spans="1:11" x14ac:dyDescent="0.25">
      <c r="A179" s="200" t="s">
        <v>466</v>
      </c>
      <c r="B179" s="200"/>
      <c r="C179" s="8">
        <v>90708</v>
      </c>
      <c r="D179" s="8"/>
      <c r="E179" s="8"/>
      <c r="F179" s="8"/>
      <c r="G179" s="8"/>
      <c r="H179" s="8"/>
      <c r="I179" s="8"/>
      <c r="J179" s="8">
        <f t="shared" si="30"/>
        <v>90708</v>
      </c>
      <c r="K179" s="9">
        <f t="shared" si="31"/>
        <v>10950981</v>
      </c>
    </row>
    <row r="180" spans="1:11" x14ac:dyDescent="0.25">
      <c r="A180" s="226" t="s">
        <v>467</v>
      </c>
      <c r="B180" s="255"/>
      <c r="C180" s="78">
        <v>90708</v>
      </c>
      <c r="D180" s="78"/>
      <c r="E180" s="78"/>
      <c r="F180" s="78"/>
      <c r="G180" s="78"/>
      <c r="H180" s="78"/>
      <c r="I180" s="78"/>
      <c r="J180" s="8">
        <f t="shared" si="30"/>
        <v>90708</v>
      </c>
      <c r="K180" s="9">
        <f t="shared" si="31"/>
        <v>11041689</v>
      </c>
    </row>
    <row r="181" spans="1:11" x14ac:dyDescent="0.25">
      <c r="A181" s="226" t="s">
        <v>468</v>
      </c>
      <c r="B181" s="255"/>
      <c r="C181" s="78">
        <v>90708</v>
      </c>
      <c r="D181" s="124"/>
      <c r="E181" s="124"/>
      <c r="F181" s="124"/>
      <c r="G181" s="124"/>
      <c r="H181" s="124"/>
      <c r="I181" s="124"/>
      <c r="J181" s="8">
        <f t="shared" si="30"/>
        <v>90708</v>
      </c>
      <c r="K181" s="9">
        <f t="shared" si="31"/>
        <v>11132397</v>
      </c>
    </row>
    <row r="182" spans="1:11" ht="15.75" thickBot="1" x14ac:dyDescent="0.3">
      <c r="A182" s="336" t="s">
        <v>469</v>
      </c>
      <c r="B182" s="337"/>
      <c r="C182" s="338">
        <v>90708</v>
      </c>
      <c r="D182" s="175"/>
      <c r="E182" s="317"/>
      <c r="F182" s="317"/>
      <c r="G182" s="317"/>
      <c r="H182" s="317"/>
      <c r="I182" s="317"/>
      <c r="J182" s="8">
        <f t="shared" si="30"/>
        <v>90708</v>
      </c>
      <c r="K182" s="9">
        <f t="shared" si="31"/>
        <v>11223105</v>
      </c>
    </row>
    <row r="183" spans="1:11" ht="15.75" thickBot="1" x14ac:dyDescent="0.3">
      <c r="A183" s="164" t="s">
        <v>442</v>
      </c>
      <c r="B183" s="172"/>
      <c r="C183" s="83">
        <f>SUM(C166:C182)</f>
        <v>10238940</v>
      </c>
      <c r="D183" s="83">
        <f t="shared" ref="D183:I183" si="32">SUM(D166:D182)</f>
        <v>984165</v>
      </c>
      <c r="E183" s="83">
        <f t="shared" si="32"/>
        <v>0</v>
      </c>
      <c r="F183" s="83">
        <f t="shared" si="32"/>
        <v>0</v>
      </c>
      <c r="G183" s="83">
        <f t="shared" si="32"/>
        <v>0</v>
      </c>
      <c r="H183" s="83">
        <f t="shared" si="32"/>
        <v>0</v>
      </c>
      <c r="I183" s="83">
        <f t="shared" si="32"/>
        <v>0</v>
      </c>
      <c r="J183" s="83">
        <f>SUM(J167:J182)</f>
        <v>1365620</v>
      </c>
      <c r="K183" s="149">
        <f>SUM(K182)</f>
        <v>11223105</v>
      </c>
    </row>
    <row r="184" spans="1:11" x14ac:dyDescent="0.25">
      <c r="A184" t="s">
        <v>5</v>
      </c>
    </row>
    <row r="186" spans="1:11" x14ac:dyDescent="0.25">
      <c r="A186" s="98" t="s">
        <v>67</v>
      </c>
      <c r="B186" s="98"/>
      <c r="C186" s="327">
        <f t="shared" ref="C186:I186" si="33">+C11-C183</f>
        <v>15425060</v>
      </c>
      <c r="D186" s="327">
        <f t="shared" si="33"/>
        <v>1766835</v>
      </c>
      <c r="E186" s="327">
        <f t="shared" si="33"/>
        <v>1500000</v>
      </c>
      <c r="F186" s="327">
        <f t="shared" si="33"/>
        <v>1200000</v>
      </c>
      <c r="G186" s="327">
        <f t="shared" si="33"/>
        <v>7500000</v>
      </c>
      <c r="H186" s="327">
        <f t="shared" si="33"/>
        <v>0</v>
      </c>
      <c r="I186" s="327">
        <f t="shared" si="33"/>
        <v>200000</v>
      </c>
      <c r="J186" s="327"/>
      <c r="K186" s="327">
        <f>SUM(C186:J186)</f>
        <v>27591895</v>
      </c>
    </row>
    <row r="187" spans="1:11" x14ac:dyDescent="0.25">
      <c r="A187" t="s">
        <v>9</v>
      </c>
      <c r="E187" t="s">
        <v>50</v>
      </c>
      <c r="I187" t="s">
        <v>45</v>
      </c>
    </row>
    <row r="188" spans="1:11" x14ac:dyDescent="0.25">
      <c r="A188" t="s">
        <v>44</v>
      </c>
    </row>
    <row r="189" spans="1:11" x14ac:dyDescent="0.25">
      <c r="E189" t="s">
        <v>13</v>
      </c>
      <c r="F189" s="13">
        <v>6010</v>
      </c>
      <c r="I189" t="s">
        <v>75</v>
      </c>
    </row>
    <row r="190" spans="1:11" x14ac:dyDescent="0.25">
      <c r="E190" t="s">
        <v>6</v>
      </c>
      <c r="F190" s="13" t="s">
        <v>7</v>
      </c>
    </row>
    <row r="191" spans="1:11" ht="15.75" thickBot="1" x14ac:dyDescent="0.3"/>
    <row r="192" spans="1:11" ht="30.75" thickBot="1" x14ac:dyDescent="0.3">
      <c r="A192" s="75" t="s">
        <v>42</v>
      </c>
      <c r="B192" s="165"/>
      <c r="C192" s="45">
        <v>1</v>
      </c>
      <c r="D192" s="45">
        <v>2</v>
      </c>
      <c r="E192" s="45">
        <v>3</v>
      </c>
      <c r="F192" s="45">
        <v>4</v>
      </c>
      <c r="G192" s="45">
        <v>5</v>
      </c>
      <c r="H192" s="45"/>
      <c r="I192" s="45">
        <v>7</v>
      </c>
      <c r="J192" s="51" t="s">
        <v>16</v>
      </c>
      <c r="K192" s="139" t="s">
        <v>17</v>
      </c>
    </row>
    <row r="193" spans="1:11" x14ac:dyDescent="0.25">
      <c r="A193" s="76" t="s">
        <v>43</v>
      </c>
      <c r="B193" s="166"/>
      <c r="C193" s="35">
        <f>+C183</f>
        <v>10238940</v>
      </c>
      <c r="D193" s="35">
        <f t="shared" ref="D193:J193" si="34">+D183</f>
        <v>984165</v>
      </c>
      <c r="E193" s="35">
        <f t="shared" si="34"/>
        <v>0</v>
      </c>
      <c r="F193" s="35">
        <f t="shared" si="34"/>
        <v>0</v>
      </c>
      <c r="G193" s="35">
        <f t="shared" si="34"/>
        <v>0</v>
      </c>
      <c r="H193" s="35">
        <f t="shared" si="34"/>
        <v>0</v>
      </c>
      <c r="I193" s="35">
        <f t="shared" si="34"/>
        <v>0</v>
      </c>
      <c r="J193" s="35">
        <f t="shared" si="34"/>
        <v>1365620</v>
      </c>
      <c r="K193" s="35">
        <f>+K182</f>
        <v>11223105</v>
      </c>
    </row>
    <row r="194" spans="1:11" x14ac:dyDescent="0.25">
      <c r="A194" s="456" t="s">
        <v>486</v>
      </c>
      <c r="B194" s="456"/>
      <c r="C194" s="8">
        <v>16755</v>
      </c>
      <c r="D194" s="16"/>
      <c r="E194" s="185"/>
      <c r="F194" s="176"/>
      <c r="G194" s="176"/>
      <c r="H194" s="16"/>
      <c r="I194" s="8"/>
      <c r="J194" s="8">
        <f t="shared" ref="J194:J214" si="35">SUM(C194:I194)</f>
        <v>16755</v>
      </c>
      <c r="K194" s="9">
        <f>+K193+J194</f>
        <v>11239860</v>
      </c>
    </row>
    <row r="195" spans="1:11" x14ac:dyDescent="0.25">
      <c r="A195" s="456" t="s">
        <v>492</v>
      </c>
      <c r="B195" s="456"/>
      <c r="C195" s="8">
        <v>70425</v>
      </c>
      <c r="D195" s="8"/>
      <c r="E195" s="203"/>
      <c r="F195" s="176"/>
      <c r="G195" s="176"/>
      <c r="H195" s="16"/>
      <c r="I195" s="16"/>
      <c r="J195" s="8">
        <f t="shared" si="35"/>
        <v>70425</v>
      </c>
      <c r="K195" s="9">
        <f t="shared" ref="K195:K204" si="36">+K194+J195</f>
        <v>11310285</v>
      </c>
    </row>
    <row r="196" spans="1:11" x14ac:dyDescent="0.25">
      <c r="A196" s="200" t="s">
        <v>498</v>
      </c>
      <c r="B196" s="200"/>
      <c r="C196" s="8"/>
      <c r="D196" s="8">
        <v>162225</v>
      </c>
      <c r="E196" s="8"/>
      <c r="F196" s="8"/>
      <c r="G196" s="8"/>
      <c r="H196" s="8"/>
      <c r="I196" s="16"/>
      <c r="J196" s="8">
        <f t="shared" si="35"/>
        <v>162225</v>
      </c>
      <c r="K196" s="65">
        <f t="shared" si="36"/>
        <v>11472510</v>
      </c>
    </row>
    <row r="197" spans="1:11" x14ac:dyDescent="0.25">
      <c r="A197" s="200" t="s">
        <v>514</v>
      </c>
      <c r="B197" s="200"/>
      <c r="C197" s="8"/>
      <c r="D197" s="8"/>
      <c r="E197" s="8">
        <v>420250</v>
      </c>
      <c r="F197" s="8"/>
      <c r="G197" s="8"/>
      <c r="H197" s="8"/>
      <c r="I197" s="16"/>
      <c r="J197" s="8">
        <f t="shared" si="35"/>
        <v>420250</v>
      </c>
      <c r="K197" s="65">
        <f t="shared" si="36"/>
        <v>11892760</v>
      </c>
    </row>
    <row r="198" spans="1:11" x14ac:dyDescent="0.25">
      <c r="A198" s="200" t="s">
        <v>515</v>
      </c>
      <c r="B198" s="200"/>
      <c r="C198" s="8"/>
      <c r="D198" s="8"/>
      <c r="E198" s="8">
        <v>25200</v>
      </c>
      <c r="F198" s="8"/>
      <c r="G198" s="8"/>
      <c r="H198" s="8"/>
      <c r="I198" s="16"/>
      <c r="J198" s="8">
        <f t="shared" si="35"/>
        <v>25200</v>
      </c>
      <c r="K198" s="65">
        <f t="shared" si="36"/>
        <v>11917960</v>
      </c>
    </row>
    <row r="199" spans="1:11" x14ac:dyDescent="0.25">
      <c r="A199" s="200" t="s">
        <v>516</v>
      </c>
      <c r="B199" s="200"/>
      <c r="C199" s="8"/>
      <c r="D199" s="8"/>
      <c r="E199" s="8">
        <v>55000</v>
      </c>
      <c r="F199" s="8"/>
      <c r="G199" s="8"/>
      <c r="H199" s="8"/>
      <c r="I199" s="16"/>
      <c r="J199" s="8">
        <f t="shared" si="35"/>
        <v>55000</v>
      </c>
      <c r="K199" s="65">
        <f t="shared" si="36"/>
        <v>11972960</v>
      </c>
    </row>
    <row r="200" spans="1:11" x14ac:dyDescent="0.25">
      <c r="A200" s="200" t="s">
        <v>517</v>
      </c>
      <c r="B200" s="200"/>
      <c r="C200" s="8"/>
      <c r="D200" s="8"/>
      <c r="E200" s="8">
        <v>356350</v>
      </c>
      <c r="F200" s="8"/>
      <c r="G200" s="8"/>
      <c r="H200" s="8"/>
      <c r="I200" s="16"/>
      <c r="J200" s="8">
        <f t="shared" si="35"/>
        <v>356350</v>
      </c>
      <c r="K200" s="65">
        <f t="shared" si="36"/>
        <v>12329310</v>
      </c>
    </row>
    <row r="201" spans="1:11" x14ac:dyDescent="0.25">
      <c r="A201" s="200" t="s">
        <v>518</v>
      </c>
      <c r="B201" s="200"/>
      <c r="C201" s="8"/>
      <c r="D201" s="8"/>
      <c r="E201" s="8">
        <v>71800</v>
      </c>
      <c r="F201" s="8"/>
      <c r="G201" s="8"/>
      <c r="H201" s="8"/>
      <c r="I201" s="16"/>
      <c r="J201" s="8">
        <f t="shared" si="35"/>
        <v>71800</v>
      </c>
      <c r="K201" s="65">
        <f t="shared" si="36"/>
        <v>12401110</v>
      </c>
    </row>
    <row r="202" spans="1:11" x14ac:dyDescent="0.25">
      <c r="A202" s="200" t="s">
        <v>519</v>
      </c>
      <c r="B202" s="200"/>
      <c r="C202" s="8"/>
      <c r="D202" s="8"/>
      <c r="E202" s="8">
        <v>8400</v>
      </c>
      <c r="F202" s="8"/>
      <c r="G202" s="8"/>
      <c r="H202" s="8"/>
      <c r="I202" s="16"/>
      <c r="J202" s="8">
        <f t="shared" si="35"/>
        <v>8400</v>
      </c>
      <c r="K202" s="65">
        <f t="shared" si="36"/>
        <v>12409510</v>
      </c>
    </row>
    <row r="203" spans="1:11" x14ac:dyDescent="0.25">
      <c r="A203" s="200" t="s">
        <v>523</v>
      </c>
      <c r="B203" s="200"/>
      <c r="C203" s="8"/>
      <c r="D203" s="8"/>
      <c r="E203" s="8">
        <v>63400</v>
      </c>
      <c r="F203" s="8"/>
      <c r="G203" s="8"/>
      <c r="H203" s="8"/>
      <c r="I203" s="16"/>
      <c r="J203" s="8">
        <f t="shared" si="35"/>
        <v>63400</v>
      </c>
      <c r="K203" s="65">
        <f t="shared" si="36"/>
        <v>12472910</v>
      </c>
    </row>
    <row r="204" spans="1:11" ht="15.75" thickBot="1" x14ac:dyDescent="0.3">
      <c r="A204" s="292" t="s">
        <v>524</v>
      </c>
      <c r="B204" s="292"/>
      <c r="C204" s="10"/>
      <c r="D204" s="10"/>
      <c r="E204" s="10">
        <v>114700</v>
      </c>
      <c r="F204" s="10"/>
      <c r="G204" s="10"/>
      <c r="H204" s="10"/>
      <c r="I204" s="3"/>
      <c r="J204" s="10">
        <f t="shared" si="35"/>
        <v>114700</v>
      </c>
      <c r="K204" s="11">
        <f t="shared" si="36"/>
        <v>12587610</v>
      </c>
    </row>
    <row r="205" spans="1:11" x14ac:dyDescent="0.25">
      <c r="A205" s="265" t="s">
        <v>65</v>
      </c>
      <c r="B205" s="265"/>
      <c r="C205" s="80">
        <f>SUM(C193:C204)</f>
        <v>10326120</v>
      </c>
      <c r="D205" s="80">
        <f t="shared" ref="D205:I205" si="37">SUM(D193:D204)</f>
        <v>1146390</v>
      </c>
      <c r="E205" s="80">
        <f t="shared" si="37"/>
        <v>1115100</v>
      </c>
      <c r="F205" s="80">
        <f t="shared" si="37"/>
        <v>0</v>
      </c>
      <c r="G205" s="80">
        <f t="shared" si="37"/>
        <v>0</v>
      </c>
      <c r="H205" s="80">
        <f t="shared" si="37"/>
        <v>0</v>
      </c>
      <c r="I205" s="80">
        <f t="shared" si="37"/>
        <v>0</v>
      </c>
      <c r="J205" s="80">
        <f>SUM(J193:J204)</f>
        <v>2730125</v>
      </c>
      <c r="K205" s="128">
        <f>+K204</f>
        <v>12587610</v>
      </c>
    </row>
    <row r="206" spans="1:11" x14ac:dyDescent="0.25">
      <c r="A206" s="200" t="s">
        <v>535</v>
      </c>
      <c r="B206" s="200"/>
      <c r="C206" s="8"/>
      <c r="D206" s="8"/>
      <c r="E206" s="8"/>
      <c r="F206" s="8"/>
      <c r="G206" s="8">
        <v>500000</v>
      </c>
      <c r="H206" s="8"/>
      <c r="I206" s="16"/>
      <c r="J206" s="8">
        <f t="shared" si="35"/>
        <v>500000</v>
      </c>
      <c r="K206" s="65">
        <f>+K205+J206</f>
        <v>13087610</v>
      </c>
    </row>
    <row r="207" spans="1:11" x14ac:dyDescent="0.25">
      <c r="A207" s="200" t="s">
        <v>546</v>
      </c>
      <c r="B207" s="200"/>
      <c r="C207" s="8"/>
      <c r="D207" s="8"/>
      <c r="E207" s="8"/>
      <c r="F207" s="8">
        <v>700000</v>
      </c>
      <c r="G207" s="8"/>
      <c r="H207" s="8"/>
      <c r="I207" s="16"/>
      <c r="J207" s="8">
        <f t="shared" si="35"/>
        <v>700000</v>
      </c>
      <c r="K207" s="65">
        <f t="shared" ref="K207:K214" si="38">+K206+J207</f>
        <v>13787610</v>
      </c>
    </row>
    <row r="208" spans="1:11" x14ac:dyDescent="0.25">
      <c r="A208" s="200" t="s">
        <v>579</v>
      </c>
      <c r="B208" s="200"/>
      <c r="C208" s="8"/>
      <c r="D208" s="8"/>
      <c r="E208" s="8">
        <v>25200</v>
      </c>
      <c r="F208" s="8"/>
      <c r="G208" s="8"/>
      <c r="H208" s="8"/>
      <c r="I208" s="16"/>
      <c r="J208" s="8">
        <f t="shared" si="35"/>
        <v>25200</v>
      </c>
      <c r="K208" s="65">
        <f t="shared" si="38"/>
        <v>13812810</v>
      </c>
    </row>
    <row r="209" spans="1:11" x14ac:dyDescent="0.25">
      <c r="A209" s="200" t="s">
        <v>580</v>
      </c>
      <c r="B209" s="200"/>
      <c r="C209" s="8"/>
      <c r="D209" s="8"/>
      <c r="E209" s="8">
        <v>86350</v>
      </c>
      <c r="F209" s="8"/>
      <c r="G209" s="8"/>
      <c r="H209" s="8"/>
      <c r="I209" s="16"/>
      <c r="J209" s="8">
        <f t="shared" si="35"/>
        <v>86350</v>
      </c>
      <c r="K209" s="65">
        <f t="shared" si="38"/>
        <v>13899160</v>
      </c>
    </row>
    <row r="210" spans="1:11" x14ac:dyDescent="0.25">
      <c r="A210" s="200" t="s">
        <v>581</v>
      </c>
      <c r="B210" s="200"/>
      <c r="C210" s="8">
        <v>5000</v>
      </c>
      <c r="D210" s="8"/>
      <c r="E210" s="8"/>
      <c r="F210" s="8"/>
      <c r="G210" s="8"/>
      <c r="H210" s="8"/>
      <c r="I210" s="8"/>
      <c r="J210" s="8">
        <f t="shared" si="35"/>
        <v>5000</v>
      </c>
      <c r="K210" s="65">
        <f t="shared" si="38"/>
        <v>13904160</v>
      </c>
    </row>
    <row r="211" spans="1:11" x14ac:dyDescent="0.25">
      <c r="A211" s="200" t="s">
        <v>582</v>
      </c>
      <c r="B211" s="200"/>
      <c r="C211" s="8">
        <v>544248</v>
      </c>
      <c r="D211" s="8"/>
      <c r="E211" s="8"/>
      <c r="F211" s="8"/>
      <c r="G211" s="8"/>
      <c r="H211" s="8"/>
      <c r="I211" s="8"/>
      <c r="J211" s="8">
        <f t="shared" si="35"/>
        <v>544248</v>
      </c>
      <c r="K211" s="65">
        <f t="shared" si="38"/>
        <v>14448408</v>
      </c>
    </row>
    <row r="212" spans="1:11" x14ac:dyDescent="0.25">
      <c r="A212" s="200" t="s">
        <v>583</v>
      </c>
      <c r="B212" s="200"/>
      <c r="C212" s="8">
        <v>155424</v>
      </c>
      <c r="D212" s="8"/>
      <c r="E212" s="8"/>
      <c r="F212" s="8"/>
      <c r="G212" s="8"/>
      <c r="H212" s="8"/>
      <c r="I212" s="8"/>
      <c r="J212" s="8">
        <f t="shared" si="35"/>
        <v>155424</v>
      </c>
      <c r="K212" s="65">
        <f t="shared" si="38"/>
        <v>14603832</v>
      </c>
    </row>
    <row r="213" spans="1:11" x14ac:dyDescent="0.25">
      <c r="A213" s="200" t="s">
        <v>584</v>
      </c>
      <c r="B213" s="200"/>
      <c r="C213" s="8">
        <v>544248</v>
      </c>
      <c r="D213" s="8"/>
      <c r="E213" s="8"/>
      <c r="F213" s="8"/>
      <c r="G213" s="8"/>
      <c r="H213" s="8"/>
      <c r="I213" s="8"/>
      <c r="J213" s="8">
        <f t="shared" si="35"/>
        <v>544248</v>
      </c>
      <c r="K213" s="65">
        <f t="shared" si="38"/>
        <v>15148080</v>
      </c>
    </row>
    <row r="214" spans="1:11" ht="15.75" thickBot="1" x14ac:dyDescent="0.3">
      <c r="A214" s="226" t="s">
        <v>585</v>
      </c>
      <c r="B214" s="255"/>
      <c r="C214" s="78">
        <v>15589</v>
      </c>
      <c r="D214" s="78"/>
      <c r="E214" s="78"/>
      <c r="F214" s="78"/>
      <c r="G214" s="78"/>
      <c r="H214" s="78"/>
      <c r="I214" s="78"/>
      <c r="J214" s="78">
        <f t="shared" si="35"/>
        <v>15589</v>
      </c>
      <c r="K214" s="65">
        <f t="shared" si="38"/>
        <v>15163669</v>
      </c>
    </row>
    <row r="215" spans="1:11" ht="15.75" thickBot="1" x14ac:dyDescent="0.3">
      <c r="A215" s="164" t="s">
        <v>61</v>
      </c>
      <c r="B215" s="383"/>
      <c r="C215" s="374">
        <f>SUM(C205:C214)</f>
        <v>11590629</v>
      </c>
      <c r="D215" s="374">
        <f t="shared" ref="D215:I215" si="39">SUM(D205:D214)</f>
        <v>1146390</v>
      </c>
      <c r="E215" s="374">
        <f t="shared" si="39"/>
        <v>1226650</v>
      </c>
      <c r="F215" s="374">
        <f t="shared" si="39"/>
        <v>700000</v>
      </c>
      <c r="G215" s="374">
        <f t="shared" si="39"/>
        <v>500000</v>
      </c>
      <c r="H215" s="374">
        <f t="shared" si="39"/>
        <v>0</v>
      </c>
      <c r="I215" s="374">
        <f t="shared" si="39"/>
        <v>0</v>
      </c>
      <c r="J215" s="110">
        <f>SUM(J206:J214)</f>
        <v>2576059</v>
      </c>
      <c r="K215" s="115">
        <f>+K214</f>
        <v>15163669</v>
      </c>
    </row>
    <row r="216" spans="1:11" x14ac:dyDescent="0.25">
      <c r="A216" t="s">
        <v>5</v>
      </c>
    </row>
    <row r="218" spans="1:11" x14ac:dyDescent="0.25">
      <c r="A218" s="98" t="s">
        <v>67</v>
      </c>
      <c r="B218" s="98"/>
      <c r="C218" s="327">
        <f t="shared" ref="C218:I218" si="40">+C11-C215</f>
        <v>14073371</v>
      </c>
      <c r="D218" s="327">
        <f t="shared" si="40"/>
        <v>1604610</v>
      </c>
      <c r="E218" s="327">
        <f t="shared" si="40"/>
        <v>273350</v>
      </c>
      <c r="F218" s="327">
        <f t="shared" si="40"/>
        <v>500000</v>
      </c>
      <c r="G218" s="327">
        <f t="shared" si="40"/>
        <v>7000000</v>
      </c>
      <c r="H218" s="327">
        <f t="shared" si="40"/>
        <v>0</v>
      </c>
      <c r="I218" s="327">
        <f t="shared" si="40"/>
        <v>200000</v>
      </c>
      <c r="J218" s="327"/>
      <c r="K218" s="327">
        <f>SUM(C218:J218)</f>
        <v>23651331</v>
      </c>
    </row>
    <row r="219" spans="1:11" x14ac:dyDescent="0.25">
      <c r="A219" t="s">
        <v>9</v>
      </c>
      <c r="E219" t="s">
        <v>50</v>
      </c>
      <c r="I219" t="s">
        <v>45</v>
      </c>
    </row>
    <row r="220" spans="1:11" x14ac:dyDescent="0.25">
      <c r="A220" t="s">
        <v>44</v>
      </c>
    </row>
    <row r="221" spans="1:11" x14ac:dyDescent="0.25">
      <c r="E221" t="s">
        <v>13</v>
      </c>
      <c r="F221" s="13">
        <v>6010</v>
      </c>
      <c r="I221" t="s">
        <v>75</v>
      </c>
    </row>
    <row r="222" spans="1:11" x14ac:dyDescent="0.25">
      <c r="E222" t="s">
        <v>6</v>
      </c>
      <c r="F222" s="13" t="s">
        <v>7</v>
      </c>
    </row>
    <row r="223" spans="1:11" ht="15.75" thickBot="1" x14ac:dyDescent="0.3"/>
    <row r="224" spans="1:11" ht="30.75" thickBot="1" x14ac:dyDescent="0.3">
      <c r="A224" s="75" t="s">
        <v>42</v>
      </c>
      <c r="B224" s="165"/>
      <c r="C224" s="45">
        <v>1</v>
      </c>
      <c r="D224" s="45">
        <v>2</v>
      </c>
      <c r="E224" s="45">
        <v>3</v>
      </c>
      <c r="F224" s="45">
        <v>4</v>
      </c>
      <c r="G224" s="45">
        <v>5</v>
      </c>
      <c r="H224" s="45"/>
      <c r="I224" s="45">
        <v>7</v>
      </c>
      <c r="J224" s="51" t="s">
        <v>16</v>
      </c>
      <c r="K224" s="139" t="s">
        <v>17</v>
      </c>
    </row>
    <row r="225" spans="1:11" x14ac:dyDescent="0.25">
      <c r="A225" s="76" t="s">
        <v>43</v>
      </c>
      <c r="B225" s="166"/>
      <c r="C225" s="35">
        <f>+C215</f>
        <v>11590629</v>
      </c>
      <c r="D225" s="35">
        <f t="shared" ref="D225:J225" si="41">+D215</f>
        <v>1146390</v>
      </c>
      <c r="E225" s="35">
        <f t="shared" si="41"/>
        <v>1226650</v>
      </c>
      <c r="F225" s="35">
        <f t="shared" si="41"/>
        <v>700000</v>
      </c>
      <c r="G225" s="35">
        <f t="shared" si="41"/>
        <v>500000</v>
      </c>
      <c r="H225" s="35">
        <f t="shared" si="41"/>
        <v>0</v>
      </c>
      <c r="I225" s="35">
        <f t="shared" si="41"/>
        <v>0</v>
      </c>
      <c r="J225" s="35">
        <f t="shared" si="41"/>
        <v>2576059</v>
      </c>
      <c r="K225" s="35">
        <f>+K214</f>
        <v>15163669</v>
      </c>
    </row>
    <row r="226" spans="1:11" x14ac:dyDescent="0.25">
      <c r="A226" s="256" t="s">
        <v>586</v>
      </c>
      <c r="B226" s="279"/>
      <c r="C226" s="8">
        <v>65523</v>
      </c>
      <c r="D226" s="16"/>
      <c r="E226" s="185"/>
      <c r="F226" s="176"/>
      <c r="G226" s="176"/>
      <c r="H226" s="16"/>
      <c r="I226" s="8"/>
      <c r="J226" s="8">
        <f t="shared" ref="J226:J246" si="42">SUM(C226:I226)</f>
        <v>65523</v>
      </c>
      <c r="K226" s="9">
        <f>+K225+J226</f>
        <v>15229192</v>
      </c>
    </row>
    <row r="227" spans="1:11" ht="15.75" thickBot="1" x14ac:dyDescent="0.3">
      <c r="A227" s="336" t="s">
        <v>587</v>
      </c>
      <c r="B227" s="337"/>
      <c r="C227" s="64"/>
      <c r="D227" s="64">
        <v>151410</v>
      </c>
      <c r="E227" s="338"/>
      <c r="F227" s="175"/>
      <c r="G227" s="175"/>
      <c r="H227" s="70"/>
      <c r="I227" s="70"/>
      <c r="J227" s="64">
        <f t="shared" si="42"/>
        <v>151410</v>
      </c>
      <c r="K227" s="65">
        <f>+K226+J227</f>
        <v>15380602</v>
      </c>
    </row>
    <row r="228" spans="1:11" x14ac:dyDescent="0.25">
      <c r="A228" s="508" t="s">
        <v>66</v>
      </c>
      <c r="B228" s="509"/>
      <c r="C228" s="77">
        <f>SUM(C225:C227)</f>
        <v>11656152</v>
      </c>
      <c r="D228" s="77">
        <f t="shared" ref="D228:I228" si="43">SUM(D225:D227)</f>
        <v>1297800</v>
      </c>
      <c r="E228" s="77">
        <f t="shared" si="43"/>
        <v>1226650</v>
      </c>
      <c r="F228" s="77">
        <f t="shared" si="43"/>
        <v>700000</v>
      </c>
      <c r="G228" s="77">
        <f t="shared" si="43"/>
        <v>500000</v>
      </c>
      <c r="H228" s="77">
        <f t="shared" si="43"/>
        <v>0</v>
      </c>
      <c r="I228" s="77">
        <f t="shared" si="43"/>
        <v>0</v>
      </c>
      <c r="J228" s="77">
        <f>SUM(J225:J227)</f>
        <v>2792992</v>
      </c>
      <c r="K228" s="510">
        <f>+K227</f>
        <v>15380602</v>
      </c>
    </row>
    <row r="229" spans="1:11" x14ac:dyDescent="0.25">
      <c r="A229" s="200" t="s">
        <v>616</v>
      </c>
      <c r="B229" s="200"/>
      <c r="C229" s="8">
        <v>922949</v>
      </c>
      <c r="D229" s="8"/>
      <c r="E229" s="8"/>
      <c r="F229" s="8"/>
      <c r="G229" s="8"/>
      <c r="H229" s="8"/>
      <c r="I229" s="16"/>
      <c r="J229" s="8">
        <f t="shared" si="42"/>
        <v>922949</v>
      </c>
      <c r="K229" s="8">
        <f>K228+J229</f>
        <v>16303551</v>
      </c>
    </row>
    <row r="230" spans="1:11" x14ac:dyDescent="0.25">
      <c r="A230" s="200" t="s">
        <v>617</v>
      </c>
      <c r="B230" s="200"/>
      <c r="C230" s="8">
        <v>870640</v>
      </c>
      <c r="D230" s="8"/>
      <c r="E230" s="8"/>
      <c r="F230" s="8"/>
      <c r="G230" s="8"/>
      <c r="H230" s="8"/>
      <c r="I230" s="16"/>
      <c r="J230" s="8">
        <f t="shared" si="42"/>
        <v>870640</v>
      </c>
      <c r="K230" s="8">
        <f t="shared" ref="K230:K245" si="44">K229+J230</f>
        <v>17174191</v>
      </c>
    </row>
    <row r="231" spans="1:11" x14ac:dyDescent="0.25">
      <c r="A231" s="200" t="s">
        <v>619</v>
      </c>
      <c r="B231" s="436"/>
      <c r="C231" s="8">
        <v>174060</v>
      </c>
      <c r="D231" s="16"/>
      <c r="E231" s="16"/>
      <c r="F231" s="16"/>
      <c r="G231" s="16"/>
      <c r="H231" s="16"/>
      <c r="I231" s="16"/>
      <c r="J231" s="8">
        <f t="shared" si="42"/>
        <v>174060</v>
      </c>
      <c r="K231" s="8">
        <f t="shared" si="44"/>
        <v>17348251</v>
      </c>
    </row>
    <row r="232" spans="1:11" x14ac:dyDescent="0.25">
      <c r="A232" s="200" t="s">
        <v>648</v>
      </c>
      <c r="B232" s="200"/>
      <c r="C232" s="8">
        <v>29168</v>
      </c>
      <c r="D232" s="8"/>
      <c r="E232" s="8"/>
      <c r="F232" s="8"/>
      <c r="G232" s="8"/>
      <c r="H232" s="8"/>
      <c r="I232" s="16"/>
      <c r="J232" s="8">
        <f t="shared" si="42"/>
        <v>29168</v>
      </c>
      <c r="K232" s="8">
        <f t="shared" si="44"/>
        <v>17377419</v>
      </c>
    </row>
    <row r="233" spans="1:11" x14ac:dyDescent="0.25">
      <c r="A233" s="200" t="s">
        <v>649</v>
      </c>
      <c r="B233" s="200"/>
      <c r="C233" s="8">
        <v>2830</v>
      </c>
      <c r="D233" s="8"/>
      <c r="E233" s="8"/>
      <c r="F233" s="8"/>
      <c r="G233" s="8"/>
      <c r="H233" s="8"/>
      <c r="I233" s="16"/>
      <c r="J233" s="8">
        <f t="shared" si="42"/>
        <v>2830</v>
      </c>
      <c r="K233" s="8">
        <f t="shared" si="44"/>
        <v>17380249</v>
      </c>
    </row>
    <row r="234" spans="1:11" x14ac:dyDescent="0.25">
      <c r="A234" s="200" t="s">
        <v>650</v>
      </c>
      <c r="B234" s="200"/>
      <c r="C234" s="8">
        <v>122795</v>
      </c>
      <c r="D234" s="8"/>
      <c r="E234" s="8"/>
      <c r="F234" s="8"/>
      <c r="G234" s="8"/>
      <c r="H234" s="8"/>
      <c r="I234" s="16"/>
      <c r="J234" s="8">
        <f t="shared" si="42"/>
        <v>122795</v>
      </c>
      <c r="K234" s="8">
        <f t="shared" si="44"/>
        <v>17503044</v>
      </c>
    </row>
    <row r="235" spans="1:11" x14ac:dyDescent="0.25">
      <c r="A235" s="200" t="s">
        <v>651</v>
      </c>
      <c r="B235" s="200"/>
      <c r="C235" s="8">
        <v>11893</v>
      </c>
      <c r="D235" s="8"/>
      <c r="E235" s="8"/>
      <c r="F235" s="8"/>
      <c r="G235" s="8"/>
      <c r="H235" s="8"/>
      <c r="I235" s="8"/>
      <c r="J235" s="8">
        <f t="shared" si="42"/>
        <v>11893</v>
      </c>
      <c r="K235" s="8">
        <f t="shared" si="44"/>
        <v>17514937</v>
      </c>
    </row>
    <row r="236" spans="1:11" x14ac:dyDescent="0.25">
      <c r="A236" s="200" t="s">
        <v>652</v>
      </c>
      <c r="B236" s="200"/>
      <c r="C236" s="8"/>
      <c r="D236" s="8">
        <v>300590</v>
      </c>
      <c r="E236" s="8"/>
      <c r="F236" s="8"/>
      <c r="G236" s="8"/>
      <c r="H236" s="8"/>
      <c r="I236" s="16"/>
      <c r="J236" s="8">
        <f t="shared" si="42"/>
        <v>300590</v>
      </c>
      <c r="K236" s="8">
        <f t="shared" si="44"/>
        <v>17815527</v>
      </c>
    </row>
    <row r="237" spans="1:11" x14ac:dyDescent="0.25">
      <c r="A237" s="200" t="s">
        <v>653</v>
      </c>
      <c r="B237" s="200"/>
      <c r="C237" s="8"/>
      <c r="D237" s="8">
        <v>29167</v>
      </c>
      <c r="E237" s="8"/>
      <c r="F237" s="8"/>
      <c r="G237" s="8"/>
      <c r="H237" s="8"/>
      <c r="I237" s="16"/>
      <c r="J237" s="8">
        <f t="shared" si="42"/>
        <v>29167</v>
      </c>
      <c r="K237" s="8">
        <f t="shared" si="44"/>
        <v>17844694</v>
      </c>
    </row>
    <row r="238" spans="1:11" x14ac:dyDescent="0.25">
      <c r="A238" s="200" t="s">
        <v>631</v>
      </c>
      <c r="B238" s="200"/>
      <c r="C238" s="8"/>
      <c r="D238" s="8"/>
      <c r="E238" s="8"/>
      <c r="F238" s="8"/>
      <c r="G238" s="8"/>
      <c r="H238" s="8"/>
      <c r="I238" s="8">
        <v>200000</v>
      </c>
      <c r="J238" s="8">
        <f t="shared" si="42"/>
        <v>200000</v>
      </c>
      <c r="K238" s="8">
        <f t="shared" si="44"/>
        <v>18044694</v>
      </c>
    </row>
    <row r="239" spans="1:11" x14ac:dyDescent="0.25">
      <c r="A239" s="200" t="s">
        <v>632</v>
      </c>
      <c r="B239" s="200"/>
      <c r="C239" s="8"/>
      <c r="D239" s="8"/>
      <c r="E239" s="8">
        <v>33600</v>
      </c>
      <c r="F239" s="8"/>
      <c r="G239" s="8"/>
      <c r="H239" s="8"/>
      <c r="I239" s="16"/>
      <c r="J239" s="8">
        <f t="shared" si="42"/>
        <v>33600</v>
      </c>
      <c r="K239" s="8">
        <f t="shared" si="44"/>
        <v>18078294</v>
      </c>
    </row>
    <row r="240" spans="1:11" x14ac:dyDescent="0.25">
      <c r="A240" s="200" t="s">
        <v>633</v>
      </c>
      <c r="B240" s="200"/>
      <c r="C240" s="8"/>
      <c r="D240" s="8"/>
      <c r="E240" s="8">
        <v>95200</v>
      </c>
      <c r="F240" s="8"/>
      <c r="G240" s="8"/>
      <c r="H240" s="8"/>
      <c r="I240" s="16"/>
      <c r="J240" s="8">
        <f t="shared" si="42"/>
        <v>95200</v>
      </c>
      <c r="K240" s="8">
        <f t="shared" si="44"/>
        <v>18173494</v>
      </c>
    </row>
    <row r="241" spans="1:11" x14ac:dyDescent="0.25">
      <c r="A241" s="200" t="s">
        <v>668</v>
      </c>
      <c r="B241" s="200"/>
      <c r="C241" s="8">
        <v>771879</v>
      </c>
      <c r="D241" s="8"/>
      <c r="E241" s="8"/>
      <c r="F241" s="8"/>
      <c r="G241" s="8"/>
      <c r="H241" s="8"/>
      <c r="I241" s="8"/>
      <c r="J241" s="8">
        <f t="shared" si="42"/>
        <v>771879</v>
      </c>
      <c r="K241" s="8">
        <f t="shared" si="44"/>
        <v>18945373</v>
      </c>
    </row>
    <row r="242" spans="1:11" x14ac:dyDescent="0.25">
      <c r="A242" s="200" t="s">
        <v>669</v>
      </c>
      <c r="B242" s="200"/>
      <c r="C242" s="8">
        <v>1036782</v>
      </c>
      <c r="D242" s="8"/>
      <c r="E242" s="8"/>
      <c r="F242" s="8"/>
      <c r="G242" s="8"/>
      <c r="H242" s="8"/>
      <c r="I242" s="8"/>
      <c r="J242" s="8">
        <f t="shared" si="42"/>
        <v>1036782</v>
      </c>
      <c r="K242" s="8">
        <f t="shared" si="44"/>
        <v>19982155</v>
      </c>
    </row>
    <row r="243" spans="1:11" x14ac:dyDescent="0.25">
      <c r="A243" s="200" t="s">
        <v>676</v>
      </c>
      <c r="B243" s="200"/>
      <c r="C243" s="8">
        <v>24916</v>
      </c>
      <c r="D243" s="8"/>
      <c r="E243" s="8"/>
      <c r="F243" s="8"/>
      <c r="G243" s="8"/>
      <c r="H243" s="8"/>
      <c r="I243" s="8"/>
      <c r="J243" s="8">
        <f t="shared" si="42"/>
        <v>24916</v>
      </c>
      <c r="K243" s="8">
        <f t="shared" si="44"/>
        <v>20007071</v>
      </c>
    </row>
    <row r="244" spans="1:11" x14ac:dyDescent="0.25">
      <c r="A244" s="200" t="s">
        <v>683</v>
      </c>
      <c r="B244" s="200"/>
      <c r="C244" s="8">
        <v>98406</v>
      </c>
      <c r="D244" s="8"/>
      <c r="E244" s="8"/>
      <c r="F244" s="8"/>
      <c r="G244" s="8"/>
      <c r="H244" s="8"/>
      <c r="I244" s="8"/>
      <c r="J244" s="8">
        <f t="shared" si="42"/>
        <v>98406</v>
      </c>
      <c r="K244" s="8">
        <f t="shared" si="44"/>
        <v>20105477</v>
      </c>
    </row>
    <row r="245" spans="1:11" x14ac:dyDescent="0.25">
      <c r="A245" s="200" t="s">
        <v>688</v>
      </c>
      <c r="B245" s="200"/>
      <c r="C245" s="8">
        <v>2235512</v>
      </c>
      <c r="D245" s="8"/>
      <c r="E245" s="8"/>
      <c r="F245" s="8"/>
      <c r="G245" s="8"/>
      <c r="H245" s="8"/>
      <c r="I245" s="8"/>
      <c r="J245" s="8">
        <f t="shared" si="42"/>
        <v>2235512</v>
      </c>
      <c r="K245" s="8">
        <f t="shared" si="44"/>
        <v>22340989</v>
      </c>
    </row>
    <row r="246" spans="1:11" ht="15.75" thickBot="1" x14ac:dyDescent="0.3">
      <c r="A246" s="226" t="s">
        <v>692</v>
      </c>
      <c r="B246" s="255"/>
      <c r="C246" s="78">
        <v>28838</v>
      </c>
      <c r="D246" s="78"/>
      <c r="E246" s="78"/>
      <c r="F246" s="78"/>
      <c r="G246" s="78"/>
      <c r="H246" s="78"/>
      <c r="I246" s="78"/>
      <c r="J246" s="78">
        <f t="shared" si="42"/>
        <v>28838</v>
      </c>
      <c r="K246" s="65">
        <f>+K245+J246</f>
        <v>22369827</v>
      </c>
    </row>
    <row r="247" spans="1:11" ht="15.75" thickBot="1" x14ac:dyDescent="0.3">
      <c r="A247" s="164" t="s">
        <v>61</v>
      </c>
      <c r="B247" s="526"/>
      <c r="C247" s="354">
        <f>SUM(C228:C246)</f>
        <v>17986820</v>
      </c>
      <c r="D247" s="354">
        <f t="shared" ref="D247:I247" si="45">SUM(D228:D246)</f>
        <v>1627557</v>
      </c>
      <c r="E247" s="354">
        <f t="shared" si="45"/>
        <v>1355450</v>
      </c>
      <c r="F247" s="354">
        <f t="shared" si="45"/>
        <v>700000</v>
      </c>
      <c r="G247" s="354">
        <f t="shared" si="45"/>
        <v>500000</v>
      </c>
      <c r="H247" s="354">
        <f t="shared" si="45"/>
        <v>0</v>
      </c>
      <c r="I247" s="354">
        <f t="shared" si="45"/>
        <v>200000</v>
      </c>
      <c r="J247" s="354">
        <f>SUM(J229:J246)</f>
        <v>6989225</v>
      </c>
      <c r="K247" s="354">
        <f>K246</f>
        <v>22369827</v>
      </c>
    </row>
    <row r="248" spans="1:11" x14ac:dyDescent="0.25">
      <c r="A248" t="s">
        <v>5</v>
      </c>
    </row>
    <row r="250" spans="1:11" x14ac:dyDescent="0.25">
      <c r="A250" s="98" t="s">
        <v>67</v>
      </c>
      <c r="B250" s="98"/>
      <c r="C250" s="327">
        <f t="shared" ref="C250:I250" si="46">C11-C228</f>
        <v>14007848</v>
      </c>
      <c r="D250" s="327">
        <f t="shared" si="46"/>
        <v>1453200</v>
      </c>
      <c r="E250" s="327">
        <f t="shared" si="46"/>
        <v>273350</v>
      </c>
      <c r="F250" s="327">
        <f t="shared" si="46"/>
        <v>500000</v>
      </c>
      <c r="G250" s="327">
        <f t="shared" si="46"/>
        <v>7000000</v>
      </c>
      <c r="H250" s="327">
        <f t="shared" si="46"/>
        <v>0</v>
      </c>
      <c r="I250" s="327">
        <f t="shared" si="46"/>
        <v>200000</v>
      </c>
      <c r="J250" s="327"/>
      <c r="K250" s="327">
        <f>SUM(C250:J250)</f>
        <v>23434398</v>
      </c>
    </row>
    <row r="251" spans="1:11" x14ac:dyDescent="0.25">
      <c r="A251" t="s">
        <v>9</v>
      </c>
      <c r="E251" t="s">
        <v>50</v>
      </c>
      <c r="I251" t="s">
        <v>45</v>
      </c>
    </row>
    <row r="252" spans="1:11" x14ac:dyDescent="0.25">
      <c r="A252" t="s">
        <v>44</v>
      </c>
    </row>
    <row r="253" spans="1:11" x14ac:dyDescent="0.25">
      <c r="E253" t="s">
        <v>13</v>
      </c>
      <c r="F253" s="13">
        <v>6010</v>
      </c>
      <c r="I253" t="s">
        <v>75</v>
      </c>
    </row>
    <row r="254" spans="1:11" x14ac:dyDescent="0.25">
      <c r="E254" t="s">
        <v>6</v>
      </c>
      <c r="F254" s="13" t="s">
        <v>7</v>
      </c>
    </row>
    <row r="255" spans="1:11" ht="15.75" thickBot="1" x14ac:dyDescent="0.3"/>
    <row r="256" spans="1:11" ht="30.75" thickBot="1" x14ac:dyDescent="0.3">
      <c r="A256" s="75" t="s">
        <v>42</v>
      </c>
      <c r="B256" s="165"/>
      <c r="C256" s="45">
        <v>1</v>
      </c>
      <c r="D256" s="45">
        <v>2</v>
      </c>
      <c r="E256" s="45">
        <v>3</v>
      </c>
      <c r="F256" s="45">
        <v>4</v>
      </c>
      <c r="G256" s="45">
        <v>5</v>
      </c>
      <c r="H256" s="45"/>
      <c r="I256" s="45">
        <v>7</v>
      </c>
      <c r="J256" s="51" t="s">
        <v>16</v>
      </c>
      <c r="K256" s="139" t="s">
        <v>17</v>
      </c>
    </row>
    <row r="257" spans="1:11" x14ac:dyDescent="0.25">
      <c r="A257" s="76" t="s">
        <v>43</v>
      </c>
      <c r="B257" s="166"/>
      <c r="C257" s="35">
        <f>+C247</f>
        <v>17986820</v>
      </c>
      <c r="D257" s="35">
        <f t="shared" ref="D257:J257" si="47">+D247</f>
        <v>1627557</v>
      </c>
      <c r="E257" s="35">
        <f t="shared" si="47"/>
        <v>1355450</v>
      </c>
      <c r="F257" s="35">
        <f t="shared" si="47"/>
        <v>700000</v>
      </c>
      <c r="G257" s="35">
        <f t="shared" si="47"/>
        <v>500000</v>
      </c>
      <c r="H257" s="35">
        <f t="shared" si="47"/>
        <v>0</v>
      </c>
      <c r="I257" s="35">
        <f t="shared" si="47"/>
        <v>200000</v>
      </c>
      <c r="J257" s="35">
        <f t="shared" si="47"/>
        <v>6989225</v>
      </c>
      <c r="K257" s="35">
        <f>+K246</f>
        <v>22369827</v>
      </c>
    </row>
    <row r="258" spans="1:11" x14ac:dyDescent="0.25">
      <c r="A258" s="256" t="s">
        <v>693</v>
      </c>
      <c r="B258" s="279"/>
      <c r="C258" s="8">
        <v>121182</v>
      </c>
      <c r="D258" s="16"/>
      <c r="E258" s="185"/>
      <c r="F258" s="176"/>
      <c r="G258" s="176"/>
      <c r="H258" s="16"/>
      <c r="I258" s="8"/>
      <c r="J258" s="8">
        <f>SUM(C258:I258)</f>
        <v>121182</v>
      </c>
      <c r="K258" s="9">
        <f>+K257+J258</f>
        <v>22491009</v>
      </c>
    </row>
    <row r="259" spans="1:11" x14ac:dyDescent="0.25">
      <c r="A259" s="336" t="s">
        <v>698</v>
      </c>
      <c r="B259" s="337"/>
      <c r="C259" s="64"/>
      <c r="D259" s="64">
        <v>227115</v>
      </c>
      <c r="E259" s="338"/>
      <c r="F259" s="175"/>
      <c r="G259" s="175"/>
      <c r="H259" s="70"/>
      <c r="I259" s="70"/>
      <c r="J259" s="64">
        <f>SUM(C259:I259)</f>
        <v>227115</v>
      </c>
      <c r="K259" s="9">
        <f>+K258+J259</f>
        <v>22718124</v>
      </c>
    </row>
    <row r="260" spans="1:11" ht="15.75" thickBot="1" x14ac:dyDescent="0.3">
      <c r="A260" s="292" t="s">
        <v>702</v>
      </c>
      <c r="B260" s="292"/>
      <c r="C260" s="10"/>
      <c r="D260" s="10">
        <v>213867</v>
      </c>
      <c r="E260" s="10"/>
      <c r="F260" s="10"/>
      <c r="G260" s="10"/>
      <c r="H260" s="10"/>
      <c r="I260" s="10"/>
      <c r="J260" s="10">
        <f>SUM(C260:I260)</f>
        <v>213867</v>
      </c>
      <c r="K260" s="11">
        <f>+K259+J260</f>
        <v>22931991</v>
      </c>
    </row>
    <row r="261" spans="1:11" x14ac:dyDescent="0.25">
      <c r="A261" s="265" t="s">
        <v>69</v>
      </c>
      <c r="B261" s="265"/>
      <c r="C261" s="80">
        <f>SUM(C257:C260)</f>
        <v>18108002</v>
      </c>
      <c r="D261" s="80">
        <f t="shared" ref="D261:I261" si="48">SUM(D257:D260)</f>
        <v>2068539</v>
      </c>
      <c r="E261" s="80">
        <f t="shared" si="48"/>
        <v>1355450</v>
      </c>
      <c r="F261" s="80">
        <f t="shared" si="48"/>
        <v>700000</v>
      </c>
      <c r="G261" s="80">
        <f t="shared" si="48"/>
        <v>500000</v>
      </c>
      <c r="H261" s="80">
        <f t="shared" si="48"/>
        <v>0</v>
      </c>
      <c r="I261" s="80">
        <f t="shared" si="48"/>
        <v>200000</v>
      </c>
      <c r="J261" s="80">
        <f>SUM(J257:J260)</f>
        <v>7551389</v>
      </c>
      <c r="K261" s="80">
        <f>+K260</f>
        <v>22931991</v>
      </c>
    </row>
    <row r="262" spans="1:11" x14ac:dyDescent="0.25">
      <c r="A262" s="200" t="s">
        <v>727</v>
      </c>
      <c r="B262" s="200"/>
      <c r="C262" s="8"/>
      <c r="D262" s="8"/>
      <c r="E262" s="8">
        <v>63400</v>
      </c>
      <c r="F262" s="8"/>
      <c r="G262" s="8"/>
      <c r="H262" s="8"/>
      <c r="I262" s="16"/>
      <c r="J262" s="8">
        <f t="shared" ref="J262:J278" si="49">SUM(C262:I262)</f>
        <v>63400</v>
      </c>
      <c r="K262" s="8">
        <f>K261+J262</f>
        <v>22995391</v>
      </c>
    </row>
    <row r="263" spans="1:11" x14ac:dyDescent="0.25">
      <c r="A263" s="200" t="s">
        <v>733</v>
      </c>
      <c r="B263" s="200"/>
      <c r="C263" s="8"/>
      <c r="D263" s="8"/>
      <c r="E263" s="8"/>
      <c r="F263" s="8"/>
      <c r="G263" s="8">
        <v>499878</v>
      </c>
      <c r="H263" s="16"/>
      <c r="I263" s="16"/>
      <c r="J263" s="8">
        <f t="shared" si="49"/>
        <v>499878</v>
      </c>
      <c r="K263" s="8">
        <f t="shared" ref="K263:K277" si="50">K262+J263</f>
        <v>23495269</v>
      </c>
    </row>
    <row r="264" spans="1:11" x14ac:dyDescent="0.25">
      <c r="A264" s="200" t="s">
        <v>734</v>
      </c>
      <c r="B264" s="200"/>
      <c r="C264" s="8"/>
      <c r="D264" s="8"/>
      <c r="E264" s="8"/>
      <c r="F264" s="8"/>
      <c r="G264" s="8">
        <v>949871</v>
      </c>
      <c r="H264" s="8"/>
      <c r="I264" s="16"/>
      <c r="J264" s="8">
        <f t="shared" si="49"/>
        <v>949871</v>
      </c>
      <c r="K264" s="8">
        <f t="shared" si="50"/>
        <v>24445140</v>
      </c>
    </row>
    <row r="265" spans="1:11" x14ac:dyDescent="0.25">
      <c r="A265" s="200" t="s">
        <v>723</v>
      </c>
      <c r="B265" s="200"/>
      <c r="C265" s="8"/>
      <c r="D265" s="8"/>
      <c r="E265" s="8"/>
      <c r="F265" s="8"/>
      <c r="G265" s="8">
        <v>969724</v>
      </c>
      <c r="H265" s="8"/>
      <c r="I265" s="16"/>
      <c r="J265" s="8">
        <f t="shared" si="49"/>
        <v>969724</v>
      </c>
      <c r="K265" s="8">
        <f t="shared" si="50"/>
        <v>25414864</v>
      </c>
    </row>
    <row r="266" spans="1:11" x14ac:dyDescent="0.25">
      <c r="A266" s="200" t="s">
        <v>724</v>
      </c>
      <c r="B266" s="200"/>
      <c r="C266" s="8"/>
      <c r="D266" s="8"/>
      <c r="E266" s="8"/>
      <c r="F266" s="8"/>
      <c r="G266" s="8">
        <v>299956</v>
      </c>
      <c r="H266" s="8"/>
      <c r="I266" s="16"/>
      <c r="J266" s="8">
        <f t="shared" si="49"/>
        <v>299956</v>
      </c>
      <c r="K266" s="8">
        <f t="shared" si="50"/>
        <v>25714820</v>
      </c>
    </row>
    <row r="267" spans="1:11" x14ac:dyDescent="0.25">
      <c r="A267" s="200" t="s">
        <v>722</v>
      </c>
      <c r="B267" s="200"/>
      <c r="C267" s="8"/>
      <c r="D267" s="8"/>
      <c r="E267" s="8"/>
      <c r="F267" s="8"/>
      <c r="G267" s="8">
        <v>729889</v>
      </c>
      <c r="H267" s="8"/>
      <c r="I267" s="8"/>
      <c r="J267" s="8">
        <f t="shared" si="49"/>
        <v>729889</v>
      </c>
      <c r="K267" s="8">
        <f t="shared" si="50"/>
        <v>26444709</v>
      </c>
    </row>
    <row r="268" spans="1:11" x14ac:dyDescent="0.25">
      <c r="A268" s="200" t="s">
        <v>735</v>
      </c>
      <c r="B268" s="200"/>
      <c r="C268" s="8"/>
      <c r="D268" s="8"/>
      <c r="E268" s="8"/>
      <c r="F268" s="8"/>
      <c r="G268" s="8">
        <v>799970</v>
      </c>
      <c r="H268" s="8"/>
      <c r="I268" s="16"/>
      <c r="J268" s="8">
        <f t="shared" si="49"/>
        <v>799970</v>
      </c>
      <c r="K268" s="8">
        <f t="shared" si="50"/>
        <v>27244679</v>
      </c>
    </row>
    <row r="269" spans="1:11" x14ac:dyDescent="0.25">
      <c r="A269" s="200" t="s">
        <v>749</v>
      </c>
      <c r="B269" s="200"/>
      <c r="C269" s="8">
        <v>788207</v>
      </c>
      <c r="D269" s="8"/>
      <c r="E269" s="8"/>
      <c r="F269" s="8"/>
      <c r="G269" s="8"/>
      <c r="H269" s="8"/>
      <c r="I269" s="16"/>
      <c r="J269" s="8">
        <f t="shared" si="49"/>
        <v>788207</v>
      </c>
      <c r="K269" s="8">
        <f t="shared" si="50"/>
        <v>28032886</v>
      </c>
    </row>
    <row r="270" spans="1:11" x14ac:dyDescent="0.25">
      <c r="A270" s="200" t="s">
        <v>750</v>
      </c>
      <c r="B270" s="200"/>
      <c r="C270" s="8">
        <v>1036782</v>
      </c>
      <c r="D270" s="8"/>
      <c r="E270" s="8"/>
      <c r="F270" s="8"/>
      <c r="G270" s="8"/>
      <c r="H270" s="8"/>
      <c r="I270" s="8"/>
      <c r="J270" s="8">
        <f t="shared" si="49"/>
        <v>1036782</v>
      </c>
      <c r="K270" s="8">
        <f t="shared" si="50"/>
        <v>29069668</v>
      </c>
    </row>
    <row r="271" spans="1:11" x14ac:dyDescent="0.25">
      <c r="A271" s="200" t="s">
        <v>773</v>
      </c>
      <c r="B271" s="200"/>
      <c r="C271" s="8">
        <v>24916</v>
      </c>
      <c r="D271" s="8"/>
      <c r="E271" s="8"/>
      <c r="F271" s="8"/>
      <c r="G271" s="8"/>
      <c r="H271" s="8"/>
      <c r="I271" s="16"/>
      <c r="J271" s="8">
        <f t="shared" si="49"/>
        <v>24916</v>
      </c>
      <c r="K271" s="8">
        <f t="shared" si="50"/>
        <v>29094584</v>
      </c>
    </row>
    <row r="272" spans="1:11" x14ac:dyDescent="0.25">
      <c r="A272" s="200" t="s">
        <v>774</v>
      </c>
      <c r="B272" s="200"/>
      <c r="C272" s="8">
        <v>98406</v>
      </c>
      <c r="D272" s="8"/>
      <c r="E272" s="8"/>
      <c r="F272" s="8"/>
      <c r="G272" s="8"/>
      <c r="H272" s="8"/>
      <c r="I272" s="16"/>
      <c r="J272" s="8">
        <f t="shared" si="49"/>
        <v>98406</v>
      </c>
      <c r="K272" s="8">
        <f t="shared" si="50"/>
        <v>29192990</v>
      </c>
    </row>
    <row r="273" spans="1:11" x14ac:dyDescent="0.25">
      <c r="A273" s="200" t="s">
        <v>775</v>
      </c>
      <c r="B273" s="200"/>
      <c r="C273" s="8"/>
      <c r="D273" s="8">
        <v>213867</v>
      </c>
      <c r="E273" s="8"/>
      <c r="F273" s="8"/>
      <c r="G273" s="8"/>
      <c r="H273" s="8"/>
      <c r="I273" s="8"/>
      <c r="J273" s="8">
        <f t="shared" si="49"/>
        <v>213867</v>
      </c>
      <c r="K273" s="8">
        <f t="shared" si="50"/>
        <v>29406857</v>
      </c>
    </row>
    <row r="274" spans="1:11" x14ac:dyDescent="0.25">
      <c r="A274" s="200" t="s">
        <v>776</v>
      </c>
      <c r="B274" s="200"/>
      <c r="C274" s="8">
        <v>200000</v>
      </c>
      <c r="D274" s="8"/>
      <c r="E274" s="8"/>
      <c r="F274" s="8"/>
      <c r="G274" s="8"/>
      <c r="H274" s="8"/>
      <c r="I274" s="8"/>
      <c r="J274" s="8">
        <f t="shared" si="49"/>
        <v>200000</v>
      </c>
      <c r="K274" s="8">
        <f t="shared" si="50"/>
        <v>29606857</v>
      </c>
    </row>
    <row r="275" spans="1:11" ht="15.75" thickBot="1" x14ac:dyDescent="0.3">
      <c r="A275" s="292" t="s">
        <v>777</v>
      </c>
      <c r="B275" s="292"/>
      <c r="C275" s="10">
        <v>100000</v>
      </c>
      <c r="D275" s="10"/>
      <c r="E275" s="10"/>
      <c r="F275" s="10"/>
      <c r="G275" s="10"/>
      <c r="H275" s="10"/>
      <c r="I275" s="10"/>
      <c r="J275" s="10">
        <f t="shared" si="49"/>
        <v>100000</v>
      </c>
      <c r="K275" s="10">
        <f t="shared" si="50"/>
        <v>29706857</v>
      </c>
    </row>
    <row r="276" spans="1:11" x14ac:dyDescent="0.25">
      <c r="A276" s="265" t="s">
        <v>70</v>
      </c>
      <c r="B276" s="265"/>
      <c r="C276" s="80">
        <f>SUM(C261:C275)</f>
        <v>20356313</v>
      </c>
      <c r="D276" s="80">
        <f t="shared" ref="D276:I276" si="51">SUM(D261:D275)</f>
        <v>2282406</v>
      </c>
      <c r="E276" s="80">
        <f t="shared" si="51"/>
        <v>1418850</v>
      </c>
      <c r="F276" s="80">
        <f t="shared" si="51"/>
        <v>700000</v>
      </c>
      <c r="G276" s="80">
        <f t="shared" si="51"/>
        <v>4749288</v>
      </c>
      <c r="H276" s="80">
        <f t="shared" si="51"/>
        <v>0</v>
      </c>
      <c r="I276" s="80">
        <f t="shared" si="51"/>
        <v>200000</v>
      </c>
      <c r="J276" s="80">
        <f>SUM(J262:J275)</f>
        <v>6774866</v>
      </c>
      <c r="K276" s="80">
        <f>+K275</f>
        <v>29706857</v>
      </c>
    </row>
    <row r="277" spans="1:11" x14ac:dyDescent="0.25">
      <c r="A277" s="200" t="s">
        <v>784</v>
      </c>
      <c r="B277" s="200"/>
      <c r="C277" s="8"/>
      <c r="D277" s="8"/>
      <c r="E277" s="8"/>
      <c r="F277" s="8"/>
      <c r="G277" s="8">
        <v>560000</v>
      </c>
      <c r="H277" s="8"/>
      <c r="I277" s="8"/>
      <c r="J277" s="8">
        <f t="shared" si="49"/>
        <v>560000</v>
      </c>
      <c r="K277" s="8">
        <f t="shared" si="50"/>
        <v>30266857</v>
      </c>
    </row>
    <row r="278" spans="1:11" ht="15.75" thickBot="1" x14ac:dyDescent="0.3">
      <c r="A278" s="226" t="s">
        <v>785</v>
      </c>
      <c r="B278" s="255"/>
      <c r="C278" s="78"/>
      <c r="D278" s="78"/>
      <c r="E278" s="78"/>
      <c r="F278" s="78"/>
      <c r="G278" s="78">
        <v>700000</v>
      </c>
      <c r="H278" s="78"/>
      <c r="I278" s="78"/>
      <c r="J278" s="78">
        <f t="shared" si="49"/>
        <v>700000</v>
      </c>
      <c r="K278" s="65">
        <f>+K277+J278</f>
        <v>30966857</v>
      </c>
    </row>
    <row r="279" spans="1:11" ht="15.75" thickBot="1" x14ac:dyDescent="0.3">
      <c r="A279" s="164" t="s">
        <v>61</v>
      </c>
      <c r="B279" s="383"/>
      <c r="C279" s="374">
        <f>SUM(C276:C278)</f>
        <v>20356313</v>
      </c>
      <c r="D279" s="374">
        <f t="shared" ref="D279:I279" si="52">SUM(D276:D278)</f>
        <v>2282406</v>
      </c>
      <c r="E279" s="374">
        <f t="shared" si="52"/>
        <v>1418850</v>
      </c>
      <c r="F279" s="374">
        <f t="shared" si="52"/>
        <v>700000</v>
      </c>
      <c r="G279" s="374">
        <f t="shared" si="52"/>
        <v>6009288</v>
      </c>
      <c r="H279" s="374">
        <f t="shared" si="52"/>
        <v>0</v>
      </c>
      <c r="I279" s="374">
        <f t="shared" si="52"/>
        <v>200000</v>
      </c>
      <c r="J279" s="374">
        <f>SUM(J277:J278)</f>
        <v>1260000</v>
      </c>
      <c r="K279" s="374">
        <f>K278</f>
        <v>30966857</v>
      </c>
    </row>
    <row r="280" spans="1:11" x14ac:dyDescent="0.25">
      <c r="A280" t="s">
        <v>5</v>
      </c>
    </row>
    <row r="282" spans="1:11" x14ac:dyDescent="0.25">
      <c r="A282" s="98" t="s">
        <v>67</v>
      </c>
      <c r="B282" s="98"/>
      <c r="C282" s="327">
        <f>C11-C279</f>
        <v>5307687</v>
      </c>
      <c r="D282" s="327">
        <f t="shared" ref="D282:I282" si="53">D11-D279</f>
        <v>468594</v>
      </c>
      <c r="E282" s="327">
        <f t="shared" si="53"/>
        <v>81150</v>
      </c>
      <c r="F282" s="327">
        <f t="shared" si="53"/>
        <v>500000</v>
      </c>
      <c r="G282" s="327">
        <f t="shared" si="53"/>
        <v>1490712</v>
      </c>
      <c r="H282" s="327">
        <f t="shared" si="53"/>
        <v>0</v>
      </c>
      <c r="I282" s="327">
        <f t="shared" si="53"/>
        <v>0</v>
      </c>
      <c r="J282" s="327"/>
      <c r="K282" s="327">
        <f>K11-K276</f>
        <v>9108143</v>
      </c>
    </row>
    <row r="283" spans="1:11" x14ac:dyDescent="0.25">
      <c r="A283" t="s">
        <v>9</v>
      </c>
      <c r="E283" t="s">
        <v>50</v>
      </c>
      <c r="I283" t="s">
        <v>45</v>
      </c>
    </row>
    <row r="284" spans="1:11" x14ac:dyDescent="0.25">
      <c r="A284" t="s">
        <v>44</v>
      </c>
    </row>
    <row r="285" spans="1:11" x14ac:dyDescent="0.25">
      <c r="E285" t="s">
        <v>13</v>
      </c>
      <c r="F285" s="13">
        <v>6010</v>
      </c>
      <c r="I285" t="s">
        <v>75</v>
      </c>
    </row>
    <row r="286" spans="1:11" x14ac:dyDescent="0.25">
      <c r="E286" t="s">
        <v>6</v>
      </c>
      <c r="F286" s="13" t="s">
        <v>7</v>
      </c>
    </row>
    <row r="287" spans="1:11" ht="15.75" thickBot="1" x14ac:dyDescent="0.3"/>
    <row r="288" spans="1:11" ht="30.75" thickBot="1" x14ac:dyDescent="0.3">
      <c r="A288" s="75" t="s">
        <v>42</v>
      </c>
      <c r="B288" s="165"/>
      <c r="C288" s="45">
        <v>1</v>
      </c>
      <c r="D288" s="45">
        <v>2</v>
      </c>
      <c r="E288" s="45">
        <v>3</v>
      </c>
      <c r="F288" s="45">
        <v>4</v>
      </c>
      <c r="G288" s="45">
        <v>5</v>
      </c>
      <c r="H288" s="45"/>
      <c r="I288" s="45">
        <v>7</v>
      </c>
      <c r="J288" s="51" t="s">
        <v>16</v>
      </c>
      <c r="K288" s="139" t="s">
        <v>17</v>
      </c>
    </row>
    <row r="289" spans="1:11" x14ac:dyDescent="0.25">
      <c r="A289" s="76" t="s">
        <v>43</v>
      </c>
      <c r="B289" s="166"/>
      <c r="C289" s="35">
        <f>+C279</f>
        <v>20356313</v>
      </c>
      <c r="D289" s="35">
        <f t="shared" ref="D289:J289" si="54">+D279</f>
        <v>2282406</v>
      </c>
      <c r="E289" s="35">
        <f t="shared" si="54"/>
        <v>1418850</v>
      </c>
      <c r="F289" s="35">
        <f t="shared" si="54"/>
        <v>700000</v>
      </c>
      <c r="G289" s="35">
        <f t="shared" si="54"/>
        <v>6009288</v>
      </c>
      <c r="H289" s="35">
        <f t="shared" si="54"/>
        <v>0</v>
      </c>
      <c r="I289" s="35">
        <f t="shared" si="54"/>
        <v>200000</v>
      </c>
      <c r="J289" s="35">
        <f t="shared" si="54"/>
        <v>1260000</v>
      </c>
      <c r="K289" s="35">
        <f>+K278</f>
        <v>30966857</v>
      </c>
    </row>
    <row r="290" spans="1:11" x14ac:dyDescent="0.25">
      <c r="A290" s="256" t="s">
        <v>786</v>
      </c>
      <c r="B290" s="279"/>
      <c r="C290" s="8"/>
      <c r="D290" s="16"/>
      <c r="E290" s="185"/>
      <c r="F290" s="176"/>
      <c r="G290" s="8">
        <v>375000</v>
      </c>
      <c r="H290" s="16"/>
      <c r="I290" s="8"/>
      <c r="J290" s="8">
        <f>SUM(C290:I290)</f>
        <v>375000</v>
      </c>
      <c r="K290" s="9">
        <f>+K289+J290</f>
        <v>31341857</v>
      </c>
    </row>
    <row r="291" spans="1:11" x14ac:dyDescent="0.25">
      <c r="A291" s="336" t="s">
        <v>787</v>
      </c>
      <c r="B291" s="337"/>
      <c r="C291" s="64"/>
      <c r="D291" s="64"/>
      <c r="E291" s="338"/>
      <c r="F291" s="175"/>
      <c r="G291" s="64">
        <v>750000</v>
      </c>
      <c r="H291" s="70"/>
      <c r="I291" s="70"/>
      <c r="J291" s="64">
        <f>SUM(C291:I291)</f>
        <v>750000</v>
      </c>
      <c r="K291" s="9">
        <f t="shared" ref="K291:K309" si="55">+K290+J291</f>
        <v>32091857</v>
      </c>
    </row>
    <row r="292" spans="1:11" x14ac:dyDescent="0.25">
      <c r="A292" s="542" t="s">
        <v>776</v>
      </c>
      <c r="B292" s="542" t="s">
        <v>790</v>
      </c>
      <c r="C292" s="175">
        <v>-200000</v>
      </c>
      <c r="D292" s="175"/>
      <c r="E292" s="175"/>
      <c r="F292" s="175"/>
      <c r="G292" s="175"/>
      <c r="H292" s="175"/>
      <c r="I292" s="175"/>
      <c r="J292" s="175">
        <f>SUM(C292:I292)</f>
        <v>-200000</v>
      </c>
      <c r="K292" s="9">
        <f t="shared" si="55"/>
        <v>31891857</v>
      </c>
    </row>
    <row r="293" spans="1:11" x14ac:dyDescent="0.25">
      <c r="A293" s="200" t="s">
        <v>802</v>
      </c>
      <c r="B293" s="200"/>
      <c r="C293" s="8">
        <v>788207</v>
      </c>
      <c r="D293" s="8"/>
      <c r="E293" s="8"/>
      <c r="F293" s="8"/>
      <c r="G293" s="8"/>
      <c r="H293" s="8"/>
      <c r="I293" s="8"/>
      <c r="J293" s="64">
        <f>SUM(C293:I293)</f>
        <v>788207</v>
      </c>
      <c r="K293" s="9">
        <f t="shared" si="55"/>
        <v>32680064</v>
      </c>
    </row>
    <row r="294" spans="1:11" x14ac:dyDescent="0.25">
      <c r="A294" s="200" t="s">
        <v>803</v>
      </c>
      <c r="B294" s="200"/>
      <c r="C294" s="8">
        <v>1036782</v>
      </c>
      <c r="D294" s="8"/>
      <c r="E294" s="8"/>
      <c r="F294" s="8"/>
      <c r="G294" s="8"/>
      <c r="H294" s="8"/>
      <c r="I294" s="16"/>
      <c r="J294" s="175">
        <f>SUM(C294:I294)</f>
        <v>1036782</v>
      </c>
      <c r="K294" s="9">
        <f t="shared" si="55"/>
        <v>33716846</v>
      </c>
    </row>
    <row r="295" spans="1:11" x14ac:dyDescent="0.25">
      <c r="A295" s="200" t="s">
        <v>810</v>
      </c>
      <c r="B295" s="200"/>
      <c r="C295" s="8">
        <v>24916</v>
      </c>
      <c r="D295" s="8"/>
      <c r="E295" s="8"/>
      <c r="F295" s="8"/>
      <c r="G295" s="8"/>
      <c r="H295" s="16"/>
      <c r="I295" s="16"/>
      <c r="J295" s="8">
        <f t="shared" ref="J295:J308" si="56">SUM(C295:I295)</f>
        <v>24916</v>
      </c>
      <c r="K295" s="9">
        <f t="shared" si="55"/>
        <v>33741762</v>
      </c>
    </row>
    <row r="296" spans="1:11" x14ac:dyDescent="0.25">
      <c r="A296" s="200" t="s">
        <v>820</v>
      </c>
      <c r="B296" s="200"/>
      <c r="C296" s="8">
        <v>98406</v>
      </c>
      <c r="D296" s="8"/>
      <c r="E296" s="8"/>
      <c r="F296" s="8"/>
      <c r="G296" s="8"/>
      <c r="H296" s="8"/>
      <c r="I296" s="16"/>
      <c r="J296" s="8">
        <f t="shared" si="56"/>
        <v>98406</v>
      </c>
      <c r="K296" s="9">
        <f t="shared" si="55"/>
        <v>33840168</v>
      </c>
    </row>
    <row r="297" spans="1:11" x14ac:dyDescent="0.25">
      <c r="A297" s="200" t="s">
        <v>821</v>
      </c>
      <c r="B297" s="200"/>
      <c r="C297" s="8"/>
      <c r="D297" s="8">
        <v>213867</v>
      </c>
      <c r="E297" s="8"/>
      <c r="F297" s="8"/>
      <c r="G297" s="8"/>
      <c r="H297" s="8"/>
      <c r="I297" s="16"/>
      <c r="J297" s="8">
        <f t="shared" si="56"/>
        <v>213867</v>
      </c>
      <c r="K297" s="9">
        <f t="shared" si="55"/>
        <v>34054035</v>
      </c>
    </row>
    <row r="298" spans="1:11" x14ac:dyDescent="0.25">
      <c r="A298" s="200" t="s">
        <v>841</v>
      </c>
      <c r="B298" s="200"/>
      <c r="C298" s="8">
        <v>97788</v>
      </c>
      <c r="D298" s="8"/>
      <c r="E298" s="8"/>
      <c r="F298" s="8"/>
      <c r="G298" s="8"/>
      <c r="H298" s="8"/>
      <c r="I298" s="16"/>
      <c r="J298" s="8">
        <f t="shared" si="56"/>
        <v>97788</v>
      </c>
      <c r="K298" s="9">
        <f t="shared" si="55"/>
        <v>34151823</v>
      </c>
    </row>
    <row r="299" spans="1:11" x14ac:dyDescent="0.25">
      <c r="A299" s="200" t="s">
        <v>840</v>
      </c>
      <c r="B299" s="200"/>
      <c r="C299" s="8">
        <v>115472</v>
      </c>
      <c r="D299" s="8"/>
      <c r="E299" s="8"/>
      <c r="F299" s="8"/>
      <c r="G299" s="8"/>
      <c r="H299" s="8"/>
      <c r="I299" s="8"/>
      <c r="J299" s="8">
        <f t="shared" si="56"/>
        <v>115472</v>
      </c>
      <c r="K299" s="9">
        <f t="shared" si="55"/>
        <v>34267295</v>
      </c>
    </row>
    <row r="300" spans="1:11" x14ac:dyDescent="0.25">
      <c r="A300" s="200" t="s">
        <v>842</v>
      </c>
      <c r="B300" s="200"/>
      <c r="C300" s="8">
        <v>115472</v>
      </c>
      <c r="D300" s="8"/>
      <c r="E300" s="8"/>
      <c r="F300" s="8"/>
      <c r="G300" s="8"/>
      <c r="H300" s="8"/>
      <c r="I300" s="16"/>
      <c r="J300" s="8">
        <f t="shared" si="56"/>
        <v>115472</v>
      </c>
      <c r="K300" s="9">
        <f t="shared" si="55"/>
        <v>34382767</v>
      </c>
    </row>
    <row r="301" spans="1:11" x14ac:dyDescent="0.25">
      <c r="A301" s="200" t="s">
        <v>843</v>
      </c>
      <c r="B301" s="200"/>
      <c r="C301" s="8">
        <v>115472</v>
      </c>
      <c r="D301" s="8"/>
      <c r="E301" s="8"/>
      <c r="F301" s="8"/>
      <c r="G301" s="8"/>
      <c r="H301" s="8"/>
      <c r="I301" s="16"/>
      <c r="J301" s="8">
        <f t="shared" si="56"/>
        <v>115472</v>
      </c>
      <c r="K301" s="9">
        <f t="shared" si="55"/>
        <v>34498239</v>
      </c>
    </row>
    <row r="302" spans="1:11" x14ac:dyDescent="0.25">
      <c r="A302" s="200" t="s">
        <v>844</v>
      </c>
      <c r="B302" s="200"/>
      <c r="C302" s="8">
        <v>115472</v>
      </c>
      <c r="D302" s="8"/>
      <c r="E302" s="8"/>
      <c r="F302" s="8"/>
      <c r="G302" s="8"/>
      <c r="H302" s="8"/>
      <c r="I302" s="8"/>
      <c r="J302" s="8">
        <f t="shared" si="56"/>
        <v>115472</v>
      </c>
      <c r="K302" s="9">
        <f t="shared" si="55"/>
        <v>34613711</v>
      </c>
    </row>
    <row r="303" spans="1:11" x14ac:dyDescent="0.25">
      <c r="A303" s="200" t="s">
        <v>845</v>
      </c>
      <c r="B303" s="200"/>
      <c r="C303" s="8">
        <v>115472</v>
      </c>
      <c r="D303" s="8"/>
      <c r="E303" s="8"/>
      <c r="F303" s="8"/>
      <c r="G303" s="8"/>
      <c r="H303" s="8"/>
      <c r="I303" s="16"/>
      <c r="J303" s="8">
        <f t="shared" si="56"/>
        <v>115472</v>
      </c>
      <c r="K303" s="9">
        <f t="shared" si="55"/>
        <v>34729183</v>
      </c>
    </row>
    <row r="304" spans="1:11" x14ac:dyDescent="0.25">
      <c r="A304" s="200" t="s">
        <v>846</v>
      </c>
      <c r="B304" s="200"/>
      <c r="C304" s="8">
        <v>113059</v>
      </c>
      <c r="D304" s="8"/>
      <c r="E304" s="8"/>
      <c r="F304" s="8"/>
      <c r="G304" s="8"/>
      <c r="H304" s="8"/>
      <c r="I304" s="16"/>
      <c r="J304" s="8">
        <f t="shared" si="56"/>
        <v>113059</v>
      </c>
      <c r="K304" s="9">
        <f t="shared" si="55"/>
        <v>34842242</v>
      </c>
    </row>
    <row r="305" spans="1:11" x14ac:dyDescent="0.25">
      <c r="A305" s="200" t="s">
        <v>852</v>
      </c>
      <c r="B305" s="200"/>
      <c r="C305" s="8">
        <v>1036782</v>
      </c>
      <c r="D305" s="8"/>
      <c r="E305" s="8"/>
      <c r="F305" s="8"/>
      <c r="G305" s="8"/>
      <c r="H305" s="8"/>
      <c r="I305" s="8"/>
      <c r="J305" s="8">
        <f t="shared" si="56"/>
        <v>1036782</v>
      </c>
      <c r="K305" s="9">
        <f t="shared" si="55"/>
        <v>35879024</v>
      </c>
    </row>
    <row r="306" spans="1:11" x14ac:dyDescent="0.25">
      <c r="A306" s="200" t="s">
        <v>858</v>
      </c>
      <c r="B306" s="200"/>
      <c r="C306" s="8">
        <v>24916</v>
      </c>
      <c r="D306" s="8"/>
      <c r="E306" s="8"/>
      <c r="F306" s="8"/>
      <c r="G306" s="8"/>
      <c r="H306" s="8"/>
      <c r="I306" s="8"/>
      <c r="J306" s="8">
        <f t="shared" si="56"/>
        <v>24916</v>
      </c>
      <c r="K306" s="9">
        <f t="shared" si="55"/>
        <v>35903940</v>
      </c>
    </row>
    <row r="307" spans="1:11" x14ac:dyDescent="0.25">
      <c r="A307" s="348" t="s">
        <v>865</v>
      </c>
      <c r="B307" s="348"/>
      <c r="C307" s="64">
        <v>98406</v>
      </c>
      <c r="D307" s="64"/>
      <c r="E307" s="64"/>
      <c r="F307" s="64"/>
      <c r="G307" s="64"/>
      <c r="H307" s="64"/>
      <c r="I307" s="64"/>
      <c r="J307" s="64">
        <f t="shared" si="56"/>
        <v>98406</v>
      </c>
      <c r="K307" s="9">
        <f t="shared" si="55"/>
        <v>36002346</v>
      </c>
    </row>
    <row r="308" spans="1:11" x14ac:dyDescent="0.25">
      <c r="A308" s="348" t="s">
        <v>872</v>
      </c>
      <c r="B308" s="348"/>
      <c r="C308" s="64"/>
      <c r="D308" s="64">
        <v>213867</v>
      </c>
      <c r="E308" s="64"/>
      <c r="F308" s="64"/>
      <c r="G308" s="64"/>
      <c r="H308" s="64"/>
      <c r="I308" s="64"/>
      <c r="J308" s="64">
        <f t="shared" si="56"/>
        <v>213867</v>
      </c>
      <c r="K308" s="9">
        <f t="shared" si="55"/>
        <v>36216213</v>
      </c>
    </row>
    <row r="309" spans="1:11" x14ac:dyDescent="0.25">
      <c r="A309" s="200" t="s">
        <v>876</v>
      </c>
      <c r="B309" s="200"/>
      <c r="C309" s="8">
        <v>80000</v>
      </c>
      <c r="D309" s="8"/>
      <c r="E309" s="8"/>
      <c r="F309" s="8"/>
      <c r="G309" s="8"/>
      <c r="H309" s="8"/>
      <c r="I309" s="8"/>
      <c r="J309" s="8">
        <f>SUM(C309:I309)</f>
        <v>80000</v>
      </c>
      <c r="K309" s="9">
        <f t="shared" si="55"/>
        <v>36296213</v>
      </c>
    </row>
    <row r="310" spans="1:11" ht="15.75" thickBot="1" x14ac:dyDescent="0.3">
      <c r="A310" s="226" t="s">
        <v>879</v>
      </c>
      <c r="B310" s="255"/>
      <c r="C310" s="78"/>
      <c r="D310" s="78"/>
      <c r="E310" s="78">
        <v>58750</v>
      </c>
      <c r="F310" s="78"/>
      <c r="G310" s="78"/>
      <c r="H310" s="78"/>
      <c r="I310" s="78"/>
      <c r="J310" s="78">
        <f>SUM(C310:I310)</f>
        <v>58750</v>
      </c>
      <c r="K310" s="127">
        <f>+K309+J310</f>
        <v>36354963</v>
      </c>
    </row>
    <row r="311" spans="1:11" ht="15.75" thickBot="1" x14ac:dyDescent="0.3">
      <c r="A311" s="164" t="s">
        <v>61</v>
      </c>
      <c r="B311" s="383"/>
      <c r="C311" s="374">
        <f t="shared" ref="C311:I311" si="57">SUM(C289:C310)</f>
        <v>24132935</v>
      </c>
      <c r="D311" s="374">
        <f t="shared" si="57"/>
        <v>2710140</v>
      </c>
      <c r="E311" s="374">
        <f t="shared" si="57"/>
        <v>1477600</v>
      </c>
      <c r="F311" s="374">
        <f t="shared" si="57"/>
        <v>700000</v>
      </c>
      <c r="G311" s="374">
        <f t="shared" si="57"/>
        <v>7134288</v>
      </c>
      <c r="H311" s="374">
        <f t="shared" si="57"/>
        <v>0</v>
      </c>
      <c r="I311" s="374">
        <f t="shared" si="57"/>
        <v>200000</v>
      </c>
      <c r="J311" s="374">
        <f>SUM(J309:J310)</f>
        <v>138750</v>
      </c>
      <c r="K311" s="374">
        <f>K310</f>
        <v>36354963</v>
      </c>
    </row>
    <row r="312" spans="1:11" x14ac:dyDescent="0.25">
      <c r="A312" t="s">
        <v>5</v>
      </c>
    </row>
    <row r="314" spans="1:11" x14ac:dyDescent="0.25">
      <c r="A314" s="98" t="s">
        <v>67</v>
      </c>
      <c r="B314" s="98"/>
      <c r="C314" s="327">
        <f t="shared" ref="C314:I314" si="58">C11-C311</f>
        <v>1531065</v>
      </c>
      <c r="D314" s="327">
        <f t="shared" si="58"/>
        <v>40860</v>
      </c>
      <c r="E314" s="327">
        <f t="shared" si="58"/>
        <v>22400</v>
      </c>
      <c r="F314" s="327">
        <f t="shared" si="58"/>
        <v>500000</v>
      </c>
      <c r="G314" s="327">
        <f t="shared" si="58"/>
        <v>365712</v>
      </c>
      <c r="H314" s="327">
        <f t="shared" si="58"/>
        <v>0</v>
      </c>
      <c r="I314" s="327">
        <f t="shared" si="58"/>
        <v>0</v>
      </c>
      <c r="J314" s="327"/>
      <c r="K314" s="327">
        <f>K11-K311</f>
        <v>2460037</v>
      </c>
    </row>
    <row r="315" spans="1:11" x14ac:dyDescent="0.25">
      <c r="A315" t="s">
        <v>9</v>
      </c>
      <c r="E315" t="s">
        <v>50</v>
      </c>
      <c r="I315" t="s">
        <v>45</v>
      </c>
    </row>
    <row r="316" spans="1:11" x14ac:dyDescent="0.25">
      <c r="A316" t="s">
        <v>44</v>
      </c>
    </row>
    <row r="317" spans="1:11" x14ac:dyDescent="0.25">
      <c r="E317" t="s">
        <v>13</v>
      </c>
      <c r="F317" s="13">
        <v>6010</v>
      </c>
      <c r="I317" t="s">
        <v>75</v>
      </c>
    </row>
    <row r="318" spans="1:11" x14ac:dyDescent="0.25">
      <c r="E318" t="s">
        <v>6</v>
      </c>
      <c r="F318" s="13" t="s">
        <v>7</v>
      </c>
    </row>
    <row r="319" spans="1:11" ht="15.75" thickBot="1" x14ac:dyDescent="0.3"/>
    <row r="320" spans="1:11" ht="30.75" thickBot="1" x14ac:dyDescent="0.3">
      <c r="A320" s="75" t="s">
        <v>42</v>
      </c>
      <c r="B320" s="165"/>
      <c r="C320" s="45">
        <v>1</v>
      </c>
      <c r="D320" s="45">
        <v>2</v>
      </c>
      <c r="E320" s="45">
        <v>3</v>
      </c>
      <c r="F320" s="45">
        <v>4</v>
      </c>
      <c r="G320" s="45">
        <v>5</v>
      </c>
      <c r="H320" s="45"/>
      <c r="I320" s="45">
        <v>7</v>
      </c>
      <c r="J320" s="51" t="s">
        <v>16</v>
      </c>
      <c r="K320" s="139" t="s">
        <v>17</v>
      </c>
    </row>
    <row r="321" spans="1:11" x14ac:dyDescent="0.25">
      <c r="A321" s="76" t="s">
        <v>43</v>
      </c>
      <c r="B321" s="166"/>
      <c r="C321" s="35">
        <f>+C311</f>
        <v>24132935</v>
      </c>
      <c r="D321" s="35">
        <f t="shared" ref="D321:J321" si="59">+D311</f>
        <v>2710140</v>
      </c>
      <c r="E321" s="35">
        <f t="shared" si="59"/>
        <v>1477600</v>
      </c>
      <c r="F321" s="35">
        <f t="shared" si="59"/>
        <v>700000</v>
      </c>
      <c r="G321" s="35">
        <f t="shared" si="59"/>
        <v>7134288</v>
      </c>
      <c r="H321" s="35">
        <f t="shared" si="59"/>
        <v>0</v>
      </c>
      <c r="I321" s="35">
        <f t="shared" si="59"/>
        <v>200000</v>
      </c>
      <c r="J321" s="35">
        <f t="shared" si="59"/>
        <v>138750</v>
      </c>
      <c r="K321" s="12">
        <f>+K310</f>
        <v>36354963</v>
      </c>
    </row>
    <row r="322" spans="1:11" ht="15.75" thickBot="1" x14ac:dyDescent="0.3">
      <c r="A322" s="213" t="s">
        <v>892</v>
      </c>
      <c r="B322" s="299"/>
      <c r="C322" s="10"/>
      <c r="D322" s="3"/>
      <c r="E322" s="199"/>
      <c r="F322" s="10">
        <v>500000</v>
      </c>
      <c r="G322" s="10"/>
      <c r="H322" s="3"/>
      <c r="I322" s="10"/>
      <c r="J322" s="10">
        <f t="shared" ref="J322:J342" si="60">SUM(C322:I322)</f>
        <v>500000</v>
      </c>
      <c r="K322" s="11">
        <f>+K321+J322</f>
        <v>36854963</v>
      </c>
    </row>
    <row r="323" spans="1:11" x14ac:dyDescent="0.25">
      <c r="A323" s="469" t="s">
        <v>74</v>
      </c>
      <c r="B323" s="498"/>
      <c r="C323" s="124">
        <f>SUM(C321:C322)</f>
        <v>24132935</v>
      </c>
      <c r="D323" s="124">
        <f t="shared" ref="D323:I323" si="61">SUM(D321:D322)</f>
        <v>2710140</v>
      </c>
      <c r="E323" s="124">
        <f t="shared" si="61"/>
        <v>1477600</v>
      </c>
      <c r="F323" s="124">
        <f t="shared" si="61"/>
        <v>1200000</v>
      </c>
      <c r="G323" s="124">
        <f t="shared" si="61"/>
        <v>7134288</v>
      </c>
      <c r="H323" s="124">
        <f t="shared" si="61"/>
        <v>0</v>
      </c>
      <c r="I323" s="124">
        <f t="shared" si="61"/>
        <v>200000</v>
      </c>
      <c r="J323" s="124"/>
      <c r="K323" s="82">
        <f>+K322+J323</f>
        <v>36854963</v>
      </c>
    </row>
    <row r="324" spans="1:11" x14ac:dyDescent="0.25">
      <c r="A324" s="542" t="s">
        <v>908</v>
      </c>
      <c r="B324" s="542"/>
      <c r="C324" s="64">
        <v>420000</v>
      </c>
      <c r="D324" s="175"/>
      <c r="E324" s="175"/>
      <c r="F324" s="175"/>
      <c r="G324" s="175"/>
      <c r="H324" s="175"/>
      <c r="I324" s="175"/>
      <c r="J324" s="175">
        <f t="shared" si="60"/>
        <v>420000</v>
      </c>
      <c r="K324" s="65">
        <f>+K323+J324</f>
        <v>37274963</v>
      </c>
    </row>
    <row r="325" spans="1:11" x14ac:dyDescent="0.25">
      <c r="A325" s="200" t="s">
        <v>909</v>
      </c>
      <c r="B325" s="200"/>
      <c r="C325" s="8">
        <v>420000</v>
      </c>
      <c r="D325" s="8"/>
      <c r="E325" s="8"/>
      <c r="F325" s="8"/>
      <c r="G325" s="8"/>
      <c r="H325" s="8"/>
      <c r="I325" s="8"/>
      <c r="J325" s="64">
        <f t="shared" si="60"/>
        <v>420000</v>
      </c>
      <c r="K325" s="65">
        <f t="shared" ref="K325:K327" si="62">+K324+J325</f>
        <v>37694963</v>
      </c>
    </row>
    <row r="326" spans="1:11" x14ac:dyDescent="0.25">
      <c r="A326" s="200" t="s">
        <v>910</v>
      </c>
      <c r="B326" s="200"/>
      <c r="C326" s="8">
        <v>350000</v>
      </c>
      <c r="D326" s="8"/>
      <c r="E326" s="8"/>
      <c r="F326" s="8"/>
      <c r="G326" s="8"/>
      <c r="H326" s="8"/>
      <c r="I326" s="16"/>
      <c r="J326" s="175">
        <f t="shared" si="60"/>
        <v>350000</v>
      </c>
      <c r="K326" s="65">
        <f t="shared" si="62"/>
        <v>38044963</v>
      </c>
    </row>
    <row r="327" spans="1:11" ht="15.75" thickBot="1" x14ac:dyDescent="0.3">
      <c r="A327" s="348" t="s">
        <v>922</v>
      </c>
      <c r="B327" s="348"/>
      <c r="C327" s="64"/>
      <c r="D327" s="64"/>
      <c r="E327" s="64"/>
      <c r="F327" s="64"/>
      <c r="G327" s="64">
        <v>365564</v>
      </c>
      <c r="H327" s="70"/>
      <c r="I327" s="70"/>
      <c r="J327" s="64">
        <f t="shared" si="60"/>
        <v>365564</v>
      </c>
      <c r="K327" s="65">
        <f t="shared" si="62"/>
        <v>38410527</v>
      </c>
    </row>
    <row r="328" spans="1:11" ht="15.75" thickBot="1" x14ac:dyDescent="0.3">
      <c r="A328" s="319" t="s">
        <v>914</v>
      </c>
      <c r="B328" s="556"/>
      <c r="C328" s="83">
        <f>SUM(C323:C327)</f>
        <v>25322935</v>
      </c>
      <c r="D328" s="83">
        <f t="shared" ref="D328:I328" si="63">SUM(D323:D327)</f>
        <v>2710140</v>
      </c>
      <c r="E328" s="83">
        <f t="shared" si="63"/>
        <v>1477600</v>
      </c>
      <c r="F328" s="83">
        <f t="shared" si="63"/>
        <v>1200000</v>
      </c>
      <c r="G328" s="83">
        <f t="shared" si="63"/>
        <v>7499852</v>
      </c>
      <c r="H328" s="83">
        <f t="shared" si="63"/>
        <v>0</v>
      </c>
      <c r="I328" s="83">
        <f t="shared" si="63"/>
        <v>200000</v>
      </c>
      <c r="J328" s="83">
        <f>SUM(J324:J327)</f>
        <v>1555564</v>
      </c>
      <c r="K328" s="149">
        <f>+K327</f>
        <v>38410527</v>
      </c>
    </row>
    <row r="329" spans="1:11" x14ac:dyDescent="0.25">
      <c r="A329" s="340"/>
      <c r="B329" s="340"/>
      <c r="C329" s="81"/>
      <c r="D329" s="81"/>
      <c r="E329" s="81"/>
      <c r="F329" s="81"/>
      <c r="G329" s="81"/>
      <c r="H329" s="81"/>
      <c r="I329" s="80"/>
      <c r="J329" s="81">
        <f t="shared" si="60"/>
        <v>0</v>
      </c>
      <c r="K329" s="100"/>
    </row>
    <row r="330" spans="1:11" x14ac:dyDescent="0.25">
      <c r="A330" s="200"/>
      <c r="B330" s="200"/>
      <c r="C330" s="8"/>
      <c r="D330" s="8"/>
      <c r="E330" s="8"/>
      <c r="F330" s="8"/>
      <c r="G330" s="8"/>
      <c r="H330" s="8"/>
      <c r="I330" s="16"/>
      <c r="J330" s="8">
        <f t="shared" si="60"/>
        <v>0</v>
      </c>
      <c r="K330" s="9"/>
    </row>
    <row r="331" spans="1:11" x14ac:dyDescent="0.25">
      <c r="A331" s="200"/>
      <c r="B331" s="200"/>
      <c r="C331" s="8"/>
      <c r="D331" s="8"/>
      <c r="E331" s="8"/>
      <c r="F331" s="8"/>
      <c r="G331" s="8"/>
      <c r="H331" s="8"/>
      <c r="I331" s="8"/>
      <c r="J331" s="8">
        <f t="shared" si="60"/>
        <v>0</v>
      </c>
      <c r="K331" s="9"/>
    </row>
    <row r="332" spans="1:11" x14ac:dyDescent="0.25">
      <c r="A332" s="200"/>
      <c r="B332" s="200"/>
      <c r="C332" s="8"/>
      <c r="D332" s="8"/>
      <c r="E332" s="8"/>
      <c r="F332" s="8"/>
      <c r="G332" s="8"/>
      <c r="H332" s="8"/>
      <c r="I332" s="16"/>
      <c r="J332" s="8">
        <f t="shared" si="60"/>
        <v>0</v>
      </c>
      <c r="K332" s="9"/>
    </row>
    <row r="333" spans="1:11" x14ac:dyDescent="0.25">
      <c r="A333" s="200"/>
      <c r="B333" s="200"/>
      <c r="C333" s="8"/>
      <c r="D333" s="8"/>
      <c r="E333" s="8"/>
      <c r="F333" s="8"/>
      <c r="G333" s="8"/>
      <c r="H333" s="8"/>
      <c r="I333" s="16"/>
      <c r="J333" s="8">
        <f t="shared" si="60"/>
        <v>0</v>
      </c>
      <c r="K333" s="9"/>
    </row>
    <row r="334" spans="1:11" x14ac:dyDescent="0.25">
      <c r="A334" s="200"/>
      <c r="B334" s="200"/>
      <c r="C334" s="8"/>
      <c r="D334" s="8"/>
      <c r="E334" s="8"/>
      <c r="F334" s="8"/>
      <c r="G334" s="8"/>
      <c r="H334" s="8"/>
      <c r="I334" s="8"/>
      <c r="J334" s="8">
        <f t="shared" si="60"/>
        <v>0</v>
      </c>
      <c r="K334" s="9"/>
    </row>
    <row r="335" spans="1:11" x14ac:dyDescent="0.25">
      <c r="A335" s="200"/>
      <c r="B335" s="200"/>
      <c r="C335" s="8"/>
      <c r="D335" s="8"/>
      <c r="E335" s="8"/>
      <c r="F335" s="8"/>
      <c r="G335" s="8"/>
      <c r="H335" s="8"/>
      <c r="I335" s="16"/>
      <c r="J335" s="8">
        <f t="shared" si="60"/>
        <v>0</v>
      </c>
      <c r="K335" s="9"/>
    </row>
    <row r="336" spans="1:11" x14ac:dyDescent="0.25">
      <c r="A336" s="200"/>
      <c r="B336" s="200"/>
      <c r="C336" s="8"/>
      <c r="D336" s="8"/>
      <c r="E336" s="8"/>
      <c r="F336" s="8"/>
      <c r="G336" s="8"/>
      <c r="H336" s="8"/>
      <c r="I336" s="16"/>
      <c r="J336" s="8">
        <f t="shared" si="60"/>
        <v>0</v>
      </c>
      <c r="K336" s="9"/>
    </row>
    <row r="337" spans="1:11" x14ac:dyDescent="0.25">
      <c r="A337" s="200"/>
      <c r="B337" s="200"/>
      <c r="C337" s="8"/>
      <c r="D337" s="8"/>
      <c r="E337" s="8"/>
      <c r="F337" s="8"/>
      <c r="G337" s="8"/>
      <c r="H337" s="8"/>
      <c r="I337" s="8"/>
      <c r="J337" s="8">
        <f t="shared" si="60"/>
        <v>0</v>
      </c>
      <c r="K337" s="9"/>
    </row>
    <row r="338" spans="1:11" x14ac:dyDescent="0.25">
      <c r="A338" s="200"/>
      <c r="B338" s="200"/>
      <c r="C338" s="8"/>
      <c r="D338" s="8"/>
      <c r="E338" s="8"/>
      <c r="F338" s="8"/>
      <c r="G338" s="8"/>
      <c r="H338" s="8"/>
      <c r="I338" s="8"/>
      <c r="J338" s="8">
        <f t="shared" si="60"/>
        <v>0</v>
      </c>
      <c r="K338" s="9"/>
    </row>
    <row r="339" spans="1:11" x14ac:dyDescent="0.25">
      <c r="A339" s="348"/>
      <c r="B339" s="348"/>
      <c r="C339" s="64"/>
      <c r="D339" s="64"/>
      <c r="E339" s="64"/>
      <c r="F339" s="64"/>
      <c r="G339" s="64"/>
      <c r="H339" s="64"/>
      <c r="I339" s="64"/>
      <c r="J339" s="64">
        <f t="shared" si="60"/>
        <v>0</v>
      </c>
      <c r="K339" s="9"/>
    </row>
    <row r="340" spans="1:11" x14ac:dyDescent="0.25">
      <c r="A340" s="348"/>
      <c r="B340" s="348"/>
      <c r="C340" s="64"/>
      <c r="D340" s="64"/>
      <c r="E340" s="64"/>
      <c r="F340" s="64"/>
      <c r="G340" s="64"/>
      <c r="H340" s="64"/>
      <c r="I340" s="64"/>
      <c r="J340" s="64">
        <f t="shared" si="60"/>
        <v>0</v>
      </c>
      <c r="K340" s="9"/>
    </row>
    <row r="341" spans="1:11" x14ac:dyDescent="0.25">
      <c r="A341" s="200"/>
      <c r="B341" s="200"/>
      <c r="C341" s="8"/>
      <c r="D341" s="8"/>
      <c r="E341" s="8"/>
      <c r="F341" s="8"/>
      <c r="G341" s="8"/>
      <c r="H341" s="8"/>
      <c r="I341" s="8"/>
      <c r="J341" s="8">
        <f t="shared" si="60"/>
        <v>0</v>
      </c>
      <c r="K341" s="9"/>
    </row>
    <row r="342" spans="1:11" ht="15.75" thickBot="1" x14ac:dyDescent="0.3">
      <c r="A342" s="226"/>
      <c r="B342" s="255"/>
      <c r="C342" s="78"/>
      <c r="D342" s="78"/>
      <c r="E342" s="78"/>
      <c r="F342" s="78"/>
      <c r="G342" s="78"/>
      <c r="H342" s="78"/>
      <c r="I342" s="78"/>
      <c r="J342" s="78">
        <f t="shared" si="60"/>
        <v>0</v>
      </c>
      <c r="K342" s="127"/>
    </row>
    <row r="343" spans="1:11" ht="15.75" thickBot="1" x14ac:dyDescent="0.3">
      <c r="A343" s="164" t="s">
        <v>61</v>
      </c>
      <c r="B343" s="383"/>
      <c r="C343" s="374"/>
      <c r="D343" s="374"/>
      <c r="E343" s="374"/>
      <c r="F343" s="374"/>
      <c r="G343" s="374"/>
      <c r="H343" s="374"/>
      <c r="I343" s="374"/>
      <c r="J343" s="374">
        <f>SUM(J341:J342)</f>
        <v>0</v>
      </c>
      <c r="K343" s="374">
        <f>K342</f>
        <v>0</v>
      </c>
    </row>
    <row r="344" spans="1:11" x14ac:dyDescent="0.25">
      <c r="A344" t="s">
        <v>5</v>
      </c>
    </row>
    <row r="346" spans="1:11" x14ac:dyDescent="0.25">
      <c r="A346" s="98" t="s">
        <v>67</v>
      </c>
      <c r="B346" s="98"/>
      <c r="C346" s="327">
        <f>C11-C328</f>
        <v>341065</v>
      </c>
      <c r="D346" s="327">
        <f t="shared" ref="D346:K346" si="64">D11-D328</f>
        <v>40860</v>
      </c>
      <c r="E346" s="327">
        <f t="shared" si="64"/>
        <v>22400</v>
      </c>
      <c r="F346" s="327">
        <f t="shared" si="64"/>
        <v>0</v>
      </c>
      <c r="G346" s="327">
        <f t="shared" si="64"/>
        <v>148</v>
      </c>
      <c r="H346" s="327">
        <f t="shared" si="64"/>
        <v>0</v>
      </c>
      <c r="I346" s="327">
        <f t="shared" si="64"/>
        <v>0</v>
      </c>
      <c r="J346" s="327"/>
      <c r="K346" s="327">
        <f t="shared" si="64"/>
        <v>404473</v>
      </c>
    </row>
  </sheetData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1"/>
  <sheetViews>
    <sheetView view="pageLayout" topLeftCell="A61" zoomScaleNormal="100" workbookViewId="0">
      <selection activeCell="I52" sqref="I52"/>
    </sheetView>
  </sheetViews>
  <sheetFormatPr baseColWidth="10" defaultColWidth="11.42578125" defaultRowHeight="15" x14ac:dyDescent="0.25"/>
  <cols>
    <col min="2" max="2" width="10.28515625" customWidth="1"/>
    <col min="3" max="3" width="12.5703125" customWidth="1"/>
    <col min="4" max="4" width="10.85546875" customWidth="1"/>
    <col min="5" max="6" width="13" customWidth="1"/>
    <col min="7" max="8" width="11.42578125" customWidth="1"/>
    <col min="9" max="9" width="10.42578125" customWidth="1"/>
    <col min="10" max="10" width="12.42578125" customWidth="1"/>
    <col min="11" max="11" width="12" customWidth="1"/>
    <col min="12" max="12" width="12.5703125" customWidth="1"/>
    <col min="13" max="13" width="12.855468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6020</v>
      </c>
      <c r="I3" t="s">
        <v>75</v>
      </c>
    </row>
    <row r="4" spans="1:11" ht="15.75" thickBot="1" x14ac:dyDescent="0.3">
      <c r="E4" t="s">
        <v>6</v>
      </c>
      <c r="F4" s="13" t="s">
        <v>7</v>
      </c>
    </row>
    <row r="5" spans="1:11" ht="30.75" thickBot="1" x14ac:dyDescent="0.3">
      <c r="A5" s="39" t="s">
        <v>1</v>
      </c>
      <c r="B5" s="155"/>
      <c r="C5" s="50">
        <v>1</v>
      </c>
      <c r="D5" s="52">
        <v>2</v>
      </c>
      <c r="E5" s="50">
        <v>3</v>
      </c>
      <c r="F5" s="50">
        <v>4</v>
      </c>
      <c r="G5" s="50">
        <v>5</v>
      </c>
      <c r="H5" s="50">
        <v>6</v>
      </c>
      <c r="I5" s="50">
        <v>7</v>
      </c>
      <c r="J5" s="43" t="s">
        <v>16</v>
      </c>
      <c r="K5" s="40" t="s">
        <v>17</v>
      </c>
    </row>
    <row r="6" spans="1:11" ht="30.75" customHeight="1" x14ac:dyDescent="0.25">
      <c r="A6" s="30" t="s">
        <v>18</v>
      </c>
      <c r="B6" s="208"/>
      <c r="C6" s="131">
        <v>900000</v>
      </c>
      <c r="D6" s="131"/>
      <c r="E6" s="131">
        <v>415000</v>
      </c>
      <c r="F6" s="131">
        <v>1200000</v>
      </c>
      <c r="G6" s="131">
        <v>1000000</v>
      </c>
      <c r="H6" s="131"/>
      <c r="I6" s="131"/>
      <c r="J6" s="132">
        <f>SUM(C6:I6)</f>
        <v>3515000</v>
      </c>
      <c r="K6" s="133">
        <f>J6</f>
        <v>3515000</v>
      </c>
    </row>
    <row r="7" spans="1:11" ht="39" x14ac:dyDescent="0.25">
      <c r="A7" s="31" t="s">
        <v>19</v>
      </c>
      <c r="B7" s="209"/>
      <c r="C7" s="20"/>
      <c r="D7" s="21"/>
      <c r="E7" s="22"/>
      <c r="F7" s="21"/>
      <c r="G7" s="21"/>
      <c r="H7" s="21"/>
      <c r="I7" s="21"/>
      <c r="J7" s="22">
        <f>SUM(C7:I7)</f>
        <v>0</v>
      </c>
      <c r="K7" s="23"/>
    </row>
    <row r="8" spans="1:11" x14ac:dyDescent="0.25">
      <c r="A8" s="32" t="s">
        <v>2</v>
      </c>
      <c r="B8" s="210"/>
      <c r="C8" s="6"/>
      <c r="D8" s="19"/>
      <c r="E8" s="19"/>
      <c r="F8" s="19"/>
      <c r="G8" s="19"/>
      <c r="H8" s="19"/>
      <c r="I8" s="19"/>
      <c r="J8" s="19">
        <v>0</v>
      </c>
      <c r="K8" s="23">
        <f>K7+J8</f>
        <v>0</v>
      </c>
    </row>
    <row r="9" spans="1:11" x14ac:dyDescent="0.25">
      <c r="A9" s="32" t="s">
        <v>3</v>
      </c>
      <c r="B9" s="210"/>
      <c r="C9" s="6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ht="27" thickBot="1" x14ac:dyDescent="0.3">
      <c r="A10" s="33" t="s">
        <v>20</v>
      </c>
      <c r="B10" s="211"/>
      <c r="C10" s="134">
        <f t="shared" ref="C10:J10" si="0">SUM(C6:C9)</f>
        <v>900000</v>
      </c>
      <c r="D10" s="134">
        <f t="shared" si="0"/>
        <v>0</v>
      </c>
      <c r="E10" s="134">
        <f t="shared" si="0"/>
        <v>415000</v>
      </c>
      <c r="F10" s="134">
        <f t="shared" si="0"/>
        <v>1200000</v>
      </c>
      <c r="G10" s="134">
        <f t="shared" si="0"/>
        <v>1000000</v>
      </c>
      <c r="H10" s="134">
        <f t="shared" si="0"/>
        <v>0</v>
      </c>
      <c r="I10" s="134">
        <f t="shared" si="0"/>
        <v>0</v>
      </c>
      <c r="J10" s="134">
        <f t="shared" si="0"/>
        <v>3515000</v>
      </c>
      <c r="K10" s="135">
        <f>K9+J10</f>
        <v>3515000</v>
      </c>
    </row>
    <row r="11" spans="1:11" ht="27" thickBot="1" x14ac:dyDescent="0.3">
      <c r="A11" s="46" t="s">
        <v>21</v>
      </c>
      <c r="B11" s="212"/>
      <c r="C11" s="47"/>
      <c r="D11" s="4"/>
      <c r="E11" s="4"/>
      <c r="F11" s="4"/>
      <c r="G11" s="34" t="s">
        <v>4</v>
      </c>
      <c r="H11" s="4"/>
      <c r="I11" s="4"/>
      <c r="J11" s="4"/>
      <c r="K11" s="5"/>
    </row>
    <row r="12" spans="1:11" x14ac:dyDescent="0.25">
      <c r="A12" s="474" t="s">
        <v>78</v>
      </c>
      <c r="B12" s="408"/>
      <c r="C12" s="421">
        <v>75000</v>
      </c>
      <c r="D12" s="59"/>
      <c r="E12" s="59"/>
      <c r="F12" s="59"/>
      <c r="G12" s="59"/>
      <c r="H12" s="59"/>
      <c r="I12" s="59"/>
      <c r="J12" s="59">
        <f>SUM(C12:I12)</f>
        <v>75000</v>
      </c>
      <c r="K12" s="67">
        <f>+J12</f>
        <v>75000</v>
      </c>
    </row>
    <row r="13" spans="1:11" ht="15.75" thickBot="1" x14ac:dyDescent="0.3">
      <c r="A13" s="475" t="s">
        <v>116</v>
      </c>
      <c r="B13" s="412"/>
      <c r="C13" s="425">
        <v>75000</v>
      </c>
      <c r="D13" s="10"/>
      <c r="E13" s="10"/>
      <c r="F13" s="10"/>
      <c r="G13" s="10"/>
      <c r="H13" s="10"/>
      <c r="I13" s="10"/>
      <c r="J13" s="10">
        <f>SUM(C13:I13)</f>
        <v>75000</v>
      </c>
      <c r="K13" s="10">
        <f>+K12+J13</f>
        <v>150000</v>
      </c>
    </row>
    <row r="14" spans="1:11" x14ac:dyDescent="0.25">
      <c r="A14" s="473" t="s">
        <v>51</v>
      </c>
      <c r="B14" s="275"/>
      <c r="C14" s="80">
        <f>SUM(C12:C13)</f>
        <v>150000</v>
      </c>
      <c r="D14" s="80"/>
      <c r="E14" s="80"/>
      <c r="F14" s="80"/>
      <c r="G14" s="80"/>
      <c r="H14" s="80"/>
      <c r="I14" s="80"/>
      <c r="J14" s="124">
        <f>SUM(J12:J13)</f>
        <v>150000</v>
      </c>
      <c r="K14" s="82">
        <f>SUM(K13)</f>
        <v>150000</v>
      </c>
    </row>
    <row r="15" spans="1:11" ht="15.75" thickBot="1" x14ac:dyDescent="0.3">
      <c r="A15" s="476" t="s">
        <v>168</v>
      </c>
      <c r="B15" s="142"/>
      <c r="C15" s="10">
        <v>75000</v>
      </c>
      <c r="D15" s="10"/>
      <c r="E15" s="10"/>
      <c r="F15" s="10"/>
      <c r="G15" s="10"/>
      <c r="H15" s="10"/>
      <c r="I15" s="10"/>
      <c r="J15" s="10">
        <f>SUM(C15:I15)</f>
        <v>75000</v>
      </c>
      <c r="K15" s="11">
        <f>+K14+J15</f>
        <v>225000</v>
      </c>
    </row>
    <row r="16" spans="1:11" x14ac:dyDescent="0.25">
      <c r="A16" s="473" t="s">
        <v>370</v>
      </c>
      <c r="B16" s="275"/>
      <c r="C16" s="80">
        <f t="shared" ref="C16:H16" si="1">SUM(C14:C15)</f>
        <v>225000</v>
      </c>
      <c r="D16" s="80">
        <f t="shared" si="1"/>
        <v>0</v>
      </c>
      <c r="E16" s="80">
        <f t="shared" si="1"/>
        <v>0</v>
      </c>
      <c r="F16" s="80">
        <f t="shared" si="1"/>
        <v>0</v>
      </c>
      <c r="G16" s="80">
        <f t="shared" si="1"/>
        <v>0</v>
      </c>
      <c r="H16" s="80">
        <f t="shared" si="1"/>
        <v>0</v>
      </c>
      <c r="I16" s="80"/>
      <c r="J16" s="80">
        <f>SUM(J15)</f>
        <v>75000</v>
      </c>
      <c r="K16" s="82">
        <f>+K15</f>
        <v>225000</v>
      </c>
    </row>
    <row r="17" spans="1:11" ht="15.75" thickBot="1" x14ac:dyDescent="0.3">
      <c r="A17" s="478" t="s">
        <v>238</v>
      </c>
      <c r="B17" s="273"/>
      <c r="C17" s="10">
        <v>75000</v>
      </c>
      <c r="D17" s="10"/>
      <c r="E17" s="10"/>
      <c r="F17" s="10"/>
      <c r="G17" s="272"/>
      <c r="H17" s="10"/>
      <c r="I17" s="10"/>
      <c r="J17" s="10">
        <f>SUM(C17:I17)</f>
        <v>75000</v>
      </c>
      <c r="K17" s="11">
        <f>+K15+J17</f>
        <v>300000</v>
      </c>
    </row>
    <row r="18" spans="1:11" x14ac:dyDescent="0.25">
      <c r="A18" s="114" t="s">
        <v>59</v>
      </c>
      <c r="B18" s="477"/>
      <c r="C18" s="80">
        <f>SUM(C16:C17)</f>
        <v>300000</v>
      </c>
      <c r="D18" s="80"/>
      <c r="E18" s="231"/>
      <c r="F18" s="80"/>
      <c r="G18" s="80"/>
      <c r="H18" s="80"/>
      <c r="I18" s="80"/>
      <c r="J18" s="80">
        <f>SUM(J17)</f>
        <v>75000</v>
      </c>
      <c r="K18" s="82">
        <f>K17</f>
        <v>300000</v>
      </c>
    </row>
    <row r="19" spans="1:11" ht="15.75" thickBot="1" x14ac:dyDescent="0.3">
      <c r="A19" s="480" t="s">
        <v>309</v>
      </c>
      <c r="B19" s="481"/>
      <c r="C19" s="10">
        <v>75000</v>
      </c>
      <c r="D19" s="10"/>
      <c r="E19" s="10"/>
      <c r="F19" s="272"/>
      <c r="G19" s="10"/>
      <c r="H19" s="10"/>
      <c r="I19" s="10"/>
      <c r="J19" s="10">
        <f>SUM(C19:I19)</f>
        <v>75000</v>
      </c>
      <c r="K19" s="11">
        <f>+K18+J19</f>
        <v>375000</v>
      </c>
    </row>
    <row r="20" spans="1:11" x14ac:dyDescent="0.25">
      <c r="A20" s="482" t="s">
        <v>60</v>
      </c>
      <c r="B20" s="483"/>
      <c r="C20" s="124">
        <f>SUM(C18:C19)</f>
        <v>375000</v>
      </c>
      <c r="D20" s="124"/>
      <c r="E20" s="124"/>
      <c r="F20" s="484"/>
      <c r="G20" s="124"/>
      <c r="H20" s="124"/>
      <c r="I20" s="124"/>
      <c r="J20" s="124">
        <f>SUM(J19)</f>
        <v>75000</v>
      </c>
      <c r="K20" s="128">
        <f>+K19</f>
        <v>375000</v>
      </c>
    </row>
    <row r="21" spans="1:11" ht="15.75" thickBot="1" x14ac:dyDescent="0.3">
      <c r="A21" s="409" t="s">
        <v>377</v>
      </c>
      <c r="B21" s="492"/>
      <c r="C21" s="493">
        <v>75000</v>
      </c>
      <c r="D21" s="493"/>
      <c r="E21" s="493"/>
      <c r="F21" s="494"/>
      <c r="G21" s="494"/>
      <c r="H21" s="495"/>
      <c r="I21" s="495"/>
      <c r="J21" s="116">
        <f>SUM(C21:I21)</f>
        <v>75000</v>
      </c>
      <c r="K21" s="157">
        <f>+K19+J21</f>
        <v>450000</v>
      </c>
    </row>
    <row r="22" spans="1:11" x14ac:dyDescent="0.25">
      <c r="A22" s="482" t="s">
        <v>64</v>
      </c>
      <c r="B22" s="483"/>
      <c r="C22" s="124">
        <f>SUM(C20:C21)</f>
        <v>450000</v>
      </c>
      <c r="D22" s="124"/>
      <c r="E22" s="124"/>
      <c r="F22" s="220"/>
      <c r="G22" s="220"/>
      <c r="H22" s="220"/>
      <c r="I22" s="220"/>
      <c r="J22" s="124">
        <f>SUM(J21)</f>
        <v>75000</v>
      </c>
      <c r="K22" s="128">
        <f>+K21</f>
        <v>450000</v>
      </c>
    </row>
    <row r="23" spans="1:11" x14ac:dyDescent="0.25">
      <c r="A23" s="92" t="s">
        <v>444</v>
      </c>
      <c r="B23" s="491"/>
      <c r="C23" s="217">
        <v>75000</v>
      </c>
      <c r="D23" s="217"/>
      <c r="E23" s="217"/>
      <c r="F23" s="176"/>
      <c r="G23" s="185"/>
      <c r="H23" s="185"/>
      <c r="I23" s="185"/>
      <c r="J23" s="8">
        <f>SUM(C23:I23)</f>
        <v>75000</v>
      </c>
      <c r="K23" s="9">
        <f>+K22+J23</f>
        <v>525000</v>
      </c>
    </row>
    <row r="24" spans="1:11" x14ac:dyDescent="0.25">
      <c r="A24" s="140" t="s">
        <v>520</v>
      </c>
      <c r="B24" s="463"/>
      <c r="C24" s="216"/>
      <c r="D24" s="216"/>
      <c r="E24" s="216">
        <v>310800</v>
      </c>
      <c r="F24" s="81"/>
      <c r="G24" s="80"/>
      <c r="H24" s="80"/>
      <c r="I24" s="80"/>
      <c r="J24" s="8">
        <f>SUM(C24:I24)</f>
        <v>310800</v>
      </c>
      <c r="K24" s="9">
        <f>+K23+J24</f>
        <v>835800</v>
      </c>
    </row>
    <row r="25" spans="1:11" ht="14.25" customHeight="1" thickBot="1" x14ac:dyDescent="0.3">
      <c r="A25" s="480" t="s">
        <v>525</v>
      </c>
      <c r="B25" s="481"/>
      <c r="C25" s="215"/>
      <c r="D25" s="215"/>
      <c r="E25" s="215">
        <v>95200</v>
      </c>
      <c r="F25" s="194"/>
      <c r="G25" s="199"/>
      <c r="H25" s="199"/>
      <c r="I25" s="199"/>
      <c r="J25" s="10">
        <f>SUM(C25:I25)</f>
        <v>95200</v>
      </c>
      <c r="K25" s="11">
        <f>+K24+J25</f>
        <v>931000</v>
      </c>
    </row>
    <row r="26" spans="1:11" ht="23.25" customHeight="1" thickBot="1" x14ac:dyDescent="0.3">
      <c r="A26" s="36" t="s">
        <v>0</v>
      </c>
      <c r="B26" s="193" t="s">
        <v>65</v>
      </c>
      <c r="C26" s="15">
        <f t="shared" ref="C26:H26" si="2">SUM(C22:C25)</f>
        <v>525000</v>
      </c>
      <c r="D26" s="15">
        <f t="shared" si="2"/>
        <v>0</v>
      </c>
      <c r="E26" s="15">
        <f t="shared" si="2"/>
        <v>406000</v>
      </c>
      <c r="F26" s="15">
        <f t="shared" si="2"/>
        <v>0</v>
      </c>
      <c r="G26" s="15">
        <f t="shared" si="2"/>
        <v>0</v>
      </c>
      <c r="H26" s="15">
        <f t="shared" si="2"/>
        <v>0</v>
      </c>
      <c r="I26" s="15">
        <f>SUM(I24)</f>
        <v>0</v>
      </c>
      <c r="J26" s="15">
        <f>SUM(J23:J25)</f>
        <v>481000</v>
      </c>
      <c r="K26" s="14">
        <f>+K25</f>
        <v>931000</v>
      </c>
    </row>
    <row r="27" spans="1:11" x14ac:dyDescent="0.25">
      <c r="A27" t="s">
        <v>5</v>
      </c>
    </row>
    <row r="30" spans="1:11" x14ac:dyDescent="0.25">
      <c r="A30" t="s">
        <v>9</v>
      </c>
      <c r="E30" t="s">
        <v>50</v>
      </c>
      <c r="I30" t="s">
        <v>14</v>
      </c>
    </row>
    <row r="31" spans="1:11" x14ac:dyDescent="0.25">
      <c r="A31" t="s">
        <v>44</v>
      </c>
    </row>
    <row r="32" spans="1:11" x14ac:dyDescent="0.25">
      <c r="E32" t="s">
        <v>13</v>
      </c>
      <c r="F32" s="13">
        <v>6020</v>
      </c>
      <c r="I32" t="s">
        <v>15</v>
      </c>
    </row>
    <row r="33" spans="1:11" x14ac:dyDescent="0.25">
      <c r="E33" t="s">
        <v>6</v>
      </c>
      <c r="F33" s="13" t="s">
        <v>7</v>
      </c>
    </row>
    <row r="34" spans="1:11" ht="15.75" thickBot="1" x14ac:dyDescent="0.3"/>
    <row r="35" spans="1:11" ht="30.75" thickBot="1" x14ac:dyDescent="0.3">
      <c r="A35" s="75" t="s">
        <v>42</v>
      </c>
      <c r="B35" s="165"/>
      <c r="C35" s="45">
        <v>1</v>
      </c>
      <c r="D35" s="45">
        <v>2</v>
      </c>
      <c r="E35" s="45">
        <v>3</v>
      </c>
      <c r="F35" s="45">
        <v>4</v>
      </c>
      <c r="G35" s="45">
        <v>5</v>
      </c>
      <c r="H35" s="45">
        <v>6</v>
      </c>
      <c r="I35" s="45">
        <v>7</v>
      </c>
      <c r="J35" s="51" t="s">
        <v>16</v>
      </c>
      <c r="K35" s="139" t="s">
        <v>17</v>
      </c>
    </row>
    <row r="36" spans="1:11" x14ac:dyDescent="0.25">
      <c r="A36" s="76" t="s">
        <v>43</v>
      </c>
      <c r="B36" s="166"/>
      <c r="C36" s="35">
        <f t="shared" ref="C36:K36" si="3">+C26</f>
        <v>525000</v>
      </c>
      <c r="D36" s="35">
        <f t="shared" si="3"/>
        <v>0</v>
      </c>
      <c r="E36" s="35">
        <f t="shared" si="3"/>
        <v>406000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481000</v>
      </c>
      <c r="K36" s="12">
        <f t="shared" si="3"/>
        <v>931000</v>
      </c>
    </row>
    <row r="37" spans="1:11" x14ac:dyDescent="0.25">
      <c r="A37" s="456" t="s">
        <v>536</v>
      </c>
      <c r="B37" s="511"/>
      <c r="C37" s="8"/>
      <c r="D37" s="8"/>
      <c r="E37" s="176"/>
      <c r="F37" s="176"/>
      <c r="G37" s="8">
        <v>400000</v>
      </c>
      <c r="H37" s="8"/>
      <c r="I37" s="8"/>
      <c r="J37" s="8">
        <f>SUM(C37:I37)</f>
        <v>400000</v>
      </c>
      <c r="K37" s="8">
        <f>+K36+J37</f>
        <v>1331000</v>
      </c>
    </row>
    <row r="38" spans="1:11" x14ac:dyDescent="0.25">
      <c r="A38" s="200" t="s">
        <v>537</v>
      </c>
      <c r="B38" s="511"/>
      <c r="C38" s="8"/>
      <c r="D38" s="8"/>
      <c r="E38" s="176"/>
      <c r="F38" s="176"/>
      <c r="G38" s="8">
        <v>600000</v>
      </c>
      <c r="H38" s="8"/>
      <c r="I38" s="8"/>
      <c r="J38" s="8">
        <f>SUM(C38:I38)</f>
        <v>600000</v>
      </c>
      <c r="K38" s="8">
        <f>+K37+J38</f>
        <v>1931000</v>
      </c>
    </row>
    <row r="39" spans="1:11" x14ac:dyDescent="0.25">
      <c r="A39" s="200" t="s">
        <v>556</v>
      </c>
      <c r="B39" s="200"/>
      <c r="C39" s="8"/>
      <c r="D39" s="8"/>
      <c r="E39" s="8"/>
      <c r="F39" s="8">
        <v>700000</v>
      </c>
      <c r="G39" s="8"/>
      <c r="H39" s="8"/>
      <c r="I39" s="8"/>
      <c r="J39" s="8">
        <f>SUM(C39:I39)</f>
        <v>700000</v>
      </c>
      <c r="K39" s="8">
        <f>+K38+J39</f>
        <v>2631000</v>
      </c>
    </row>
    <row r="40" spans="1:11" x14ac:dyDescent="0.25">
      <c r="A40" s="145" t="s">
        <v>559</v>
      </c>
      <c r="B40" s="191"/>
      <c r="C40" s="81"/>
      <c r="D40" s="81"/>
      <c r="E40" s="81"/>
      <c r="F40" s="81">
        <v>500000</v>
      </c>
      <c r="G40" s="81"/>
      <c r="H40" s="81"/>
      <c r="I40" s="81">
        <f>SUM(I38:I39)</f>
        <v>0</v>
      </c>
      <c r="J40" s="8">
        <f>SUM(C40:I40)</f>
        <v>500000</v>
      </c>
      <c r="K40" s="8">
        <f>+K39+J40</f>
        <v>3131000</v>
      </c>
    </row>
    <row r="41" spans="1:11" ht="15.75" thickBot="1" x14ac:dyDescent="0.3">
      <c r="A41" s="73" t="s">
        <v>588</v>
      </c>
      <c r="B41" s="192"/>
      <c r="C41" s="215">
        <v>75000</v>
      </c>
      <c r="D41" s="215"/>
      <c r="E41" s="215"/>
      <c r="F41" s="215"/>
      <c r="G41" s="215"/>
      <c r="H41" s="215"/>
      <c r="I41" s="215"/>
      <c r="J41" s="10">
        <f>SUM(C41:I41)</f>
        <v>75000</v>
      </c>
      <c r="K41" s="10">
        <f>+K40+J41</f>
        <v>3206000</v>
      </c>
    </row>
    <row r="42" spans="1:11" x14ac:dyDescent="0.25">
      <c r="A42" s="229" t="s">
        <v>66</v>
      </c>
      <c r="B42" s="230"/>
      <c r="C42" s="231">
        <f>SUM(C36:C41)</f>
        <v>600000</v>
      </c>
      <c r="D42" s="231">
        <f t="shared" ref="D42:I42" si="4">SUM(D36:D41)</f>
        <v>0</v>
      </c>
      <c r="E42" s="231">
        <f t="shared" si="4"/>
        <v>406000</v>
      </c>
      <c r="F42" s="231">
        <f t="shared" si="4"/>
        <v>1200000</v>
      </c>
      <c r="G42" s="231">
        <f t="shared" si="4"/>
        <v>1000000</v>
      </c>
      <c r="H42" s="231">
        <f t="shared" si="4"/>
        <v>0</v>
      </c>
      <c r="I42" s="231">
        <f t="shared" si="4"/>
        <v>0</v>
      </c>
      <c r="J42" s="80">
        <f>SUM(J37:J41)</f>
        <v>2275000</v>
      </c>
      <c r="K42" s="82">
        <f>+K41</f>
        <v>3206000</v>
      </c>
    </row>
    <row r="43" spans="1:11" ht="15.75" thickBot="1" x14ac:dyDescent="0.3">
      <c r="A43" s="213" t="s">
        <v>663</v>
      </c>
      <c r="B43" s="299"/>
      <c r="C43" s="214">
        <v>75000</v>
      </c>
      <c r="D43" s="214"/>
      <c r="E43" s="214"/>
      <c r="F43" s="214"/>
      <c r="G43" s="199"/>
      <c r="H43" s="199"/>
      <c r="I43" s="199"/>
      <c r="J43" s="215">
        <f t="shared" ref="J43:J53" si="5">SUM(C43:I43)</f>
        <v>75000</v>
      </c>
      <c r="K43" s="267">
        <f t="shared" ref="K43:K48" si="6">K42+J43</f>
        <v>3281000</v>
      </c>
    </row>
    <row r="44" spans="1:11" x14ac:dyDescent="0.25">
      <c r="A44" s="229" t="s">
        <v>69</v>
      </c>
      <c r="B44" s="230"/>
      <c r="C44" s="231">
        <f>SUM(C42:C43)</f>
        <v>675000</v>
      </c>
      <c r="D44" s="231">
        <f t="shared" ref="D44:I44" si="7">SUM(D42:D43)</f>
        <v>0</v>
      </c>
      <c r="E44" s="231">
        <f t="shared" si="7"/>
        <v>406000</v>
      </c>
      <c r="F44" s="231">
        <f t="shared" si="7"/>
        <v>1200000</v>
      </c>
      <c r="G44" s="231">
        <f t="shared" si="7"/>
        <v>1000000</v>
      </c>
      <c r="H44" s="231">
        <f t="shared" si="7"/>
        <v>0</v>
      </c>
      <c r="I44" s="231">
        <f t="shared" si="7"/>
        <v>0</v>
      </c>
      <c r="J44" s="80"/>
      <c r="K44" s="82">
        <f>+K43</f>
        <v>3281000</v>
      </c>
    </row>
    <row r="45" spans="1:11" ht="15.75" thickBot="1" x14ac:dyDescent="0.3">
      <c r="A45" s="213" t="s">
        <v>737</v>
      </c>
      <c r="B45" s="299"/>
      <c r="C45" s="214">
        <v>75000</v>
      </c>
      <c r="D45" s="214"/>
      <c r="E45" s="214"/>
      <c r="F45" s="214"/>
      <c r="G45" s="199"/>
      <c r="H45" s="199"/>
      <c r="I45" s="199"/>
      <c r="J45" s="215">
        <f t="shared" si="5"/>
        <v>75000</v>
      </c>
      <c r="K45" s="267">
        <f t="shared" si="6"/>
        <v>3356000</v>
      </c>
    </row>
    <row r="46" spans="1:11" x14ac:dyDescent="0.25">
      <c r="A46" s="79" t="s">
        <v>70</v>
      </c>
      <c r="B46" s="190"/>
      <c r="C46" s="324">
        <f>SUM(C44:C45)</f>
        <v>750000</v>
      </c>
      <c r="D46" s="324">
        <f t="shared" ref="D46:I46" si="8">SUM(D44:D45)</f>
        <v>0</v>
      </c>
      <c r="E46" s="324">
        <f t="shared" si="8"/>
        <v>406000</v>
      </c>
      <c r="F46" s="324">
        <f t="shared" si="8"/>
        <v>1200000</v>
      </c>
      <c r="G46" s="324">
        <f t="shared" si="8"/>
        <v>1000000</v>
      </c>
      <c r="H46" s="324">
        <f t="shared" si="8"/>
        <v>0</v>
      </c>
      <c r="I46" s="324">
        <f t="shared" si="8"/>
        <v>0</v>
      </c>
      <c r="J46" s="80">
        <f>SUM(J45)</f>
        <v>75000</v>
      </c>
      <c r="K46" s="82">
        <f>+K45</f>
        <v>3356000</v>
      </c>
    </row>
    <row r="47" spans="1:11" x14ac:dyDescent="0.25">
      <c r="A47" s="69" t="s">
        <v>798</v>
      </c>
      <c r="B47" s="170"/>
      <c r="C47" s="64">
        <v>75000</v>
      </c>
      <c r="D47" s="64"/>
      <c r="E47" s="64"/>
      <c r="F47" s="70"/>
      <c r="G47" s="70"/>
      <c r="H47" s="70"/>
      <c r="I47" s="70"/>
      <c r="J47" s="282">
        <f t="shared" si="5"/>
        <v>75000</v>
      </c>
      <c r="K47" s="388">
        <f t="shared" si="6"/>
        <v>3431000</v>
      </c>
    </row>
    <row r="48" spans="1:11" ht="15.75" thickBot="1" x14ac:dyDescent="0.3">
      <c r="A48" s="557" t="s">
        <v>828</v>
      </c>
      <c r="B48" s="346"/>
      <c r="C48" s="64">
        <v>75000</v>
      </c>
      <c r="D48" s="70"/>
      <c r="E48" s="70"/>
      <c r="F48" s="70"/>
      <c r="G48" s="70"/>
      <c r="H48" s="70"/>
      <c r="I48" s="70">
        <f>SUM(I40:I47)</f>
        <v>0</v>
      </c>
      <c r="J48" s="282">
        <f t="shared" si="5"/>
        <v>75000</v>
      </c>
      <c r="K48" s="388">
        <f t="shared" si="6"/>
        <v>3506000</v>
      </c>
    </row>
    <row r="49" spans="1:11" ht="15.75" thickBot="1" x14ac:dyDescent="0.3">
      <c r="A49" s="319"/>
      <c r="B49" s="556"/>
      <c r="C49" s="83">
        <f>SUM(C46:C48)</f>
        <v>900000</v>
      </c>
      <c r="D49" s="83">
        <f t="shared" ref="D49:G49" si="9">SUM(D46:D48)</f>
        <v>0</v>
      </c>
      <c r="E49" s="83">
        <f t="shared" si="9"/>
        <v>406000</v>
      </c>
      <c r="F49" s="83">
        <f t="shared" si="9"/>
        <v>1200000</v>
      </c>
      <c r="G49" s="83">
        <f t="shared" si="9"/>
        <v>1000000</v>
      </c>
      <c r="H49" s="83"/>
      <c r="I49" s="83"/>
      <c r="J49" s="83">
        <f>SUM(J47:J48)</f>
        <v>150000</v>
      </c>
      <c r="K49" s="149">
        <f>+K48</f>
        <v>3506000</v>
      </c>
    </row>
    <row r="50" spans="1:11" x14ac:dyDescent="0.25">
      <c r="A50" s="340"/>
      <c r="B50" s="340"/>
      <c r="C50" s="81"/>
      <c r="D50" s="81"/>
      <c r="E50" s="81"/>
      <c r="F50" s="81"/>
      <c r="G50" s="81"/>
      <c r="H50" s="81"/>
      <c r="I50" s="81"/>
      <c r="J50" s="286">
        <f t="shared" si="5"/>
        <v>0</v>
      </c>
      <c r="K50" s="81"/>
    </row>
    <row r="51" spans="1:11" x14ac:dyDescent="0.25">
      <c r="A51" s="436"/>
      <c r="B51" s="436"/>
      <c r="C51" s="16"/>
      <c r="D51" s="16"/>
      <c r="E51" s="16"/>
      <c r="F51" s="16"/>
      <c r="G51" s="16"/>
      <c r="H51" s="16"/>
      <c r="I51" s="16">
        <f>SUM(I48:I50)</f>
        <v>0</v>
      </c>
      <c r="J51" s="282">
        <f t="shared" si="5"/>
        <v>0</v>
      </c>
      <c r="K51" s="8"/>
    </row>
    <row r="52" spans="1:11" x14ac:dyDescent="0.25">
      <c r="A52" s="200"/>
      <c r="B52" s="436"/>
      <c r="C52" s="8"/>
      <c r="D52" s="8"/>
      <c r="E52" s="8"/>
      <c r="F52" s="8"/>
      <c r="G52" s="8"/>
      <c r="H52" s="16"/>
      <c r="I52" s="16"/>
      <c r="J52" s="282">
        <f t="shared" si="5"/>
        <v>0</v>
      </c>
      <c r="K52" s="8"/>
    </row>
    <row r="53" spans="1:11" x14ac:dyDescent="0.25">
      <c r="A53" s="436"/>
      <c r="B53" s="436"/>
      <c r="C53" s="16"/>
      <c r="D53" s="16"/>
      <c r="E53" s="16"/>
      <c r="F53" s="16"/>
      <c r="G53" s="16"/>
      <c r="H53" s="16"/>
      <c r="I53" s="16">
        <f>SUM(I51:I52)</f>
        <v>0</v>
      </c>
      <c r="J53" s="282">
        <f t="shared" si="5"/>
        <v>0</v>
      </c>
      <c r="K53" s="8"/>
    </row>
    <row r="54" spans="1:11" ht="15.75" thickBot="1" x14ac:dyDescent="0.3">
      <c r="A54" s="226"/>
      <c r="B54" s="255"/>
      <c r="C54" s="78"/>
      <c r="D54" s="78"/>
      <c r="E54" s="78"/>
      <c r="F54" s="124"/>
      <c r="G54" s="124"/>
      <c r="H54" s="124"/>
      <c r="I54" s="124"/>
      <c r="J54" s="78">
        <f>SUM(C54:I54)</f>
        <v>0</v>
      </c>
      <c r="K54" s="127"/>
    </row>
    <row r="55" spans="1:11" ht="15.75" thickBot="1" x14ac:dyDescent="0.3">
      <c r="A55" s="164" t="s">
        <v>61</v>
      </c>
      <c r="B55" s="319"/>
      <c r="C55" s="83"/>
      <c r="D55" s="83"/>
      <c r="E55" s="83"/>
      <c r="F55" s="83"/>
      <c r="G55" s="83"/>
      <c r="H55" s="83">
        <f t="shared" ref="H55:I55" si="10">SUM(H46:H54)</f>
        <v>0</v>
      </c>
      <c r="I55" s="83">
        <f t="shared" si="10"/>
        <v>0</v>
      </c>
      <c r="J55" s="83">
        <f>SUM(J54)</f>
        <v>0</v>
      </c>
      <c r="K55" s="149">
        <f>SUM(K54)</f>
        <v>0</v>
      </c>
    </row>
    <row r="56" spans="1:11" x14ac:dyDescent="0.25">
      <c r="A56" t="s">
        <v>5</v>
      </c>
    </row>
    <row r="58" spans="1:11" x14ac:dyDescent="0.25">
      <c r="A58" s="98"/>
      <c r="B58" s="98"/>
      <c r="C58" s="327">
        <f>C10-C49</f>
        <v>0</v>
      </c>
      <c r="D58" s="327">
        <f t="shared" ref="D58:I58" si="11">D10-D49</f>
        <v>0</v>
      </c>
      <c r="E58" s="327">
        <f t="shared" si="11"/>
        <v>9000</v>
      </c>
      <c r="F58" s="327">
        <f t="shared" si="11"/>
        <v>0</v>
      </c>
      <c r="G58" s="327">
        <f t="shared" si="11"/>
        <v>0</v>
      </c>
      <c r="H58" s="327">
        <f t="shared" si="11"/>
        <v>0</v>
      </c>
      <c r="I58" s="327">
        <f t="shared" si="11"/>
        <v>0</v>
      </c>
      <c r="J58" s="327"/>
      <c r="K58" s="327"/>
    </row>
    <row r="62" spans="1:11" x14ac:dyDescent="0.25">
      <c r="A62" t="s">
        <v>9</v>
      </c>
      <c r="E62" t="s">
        <v>50</v>
      </c>
      <c r="I62" t="s">
        <v>45</v>
      </c>
    </row>
    <row r="63" spans="1:11" x14ac:dyDescent="0.25">
      <c r="A63" t="s">
        <v>44</v>
      </c>
    </row>
    <row r="64" spans="1:11" x14ac:dyDescent="0.25">
      <c r="E64" t="s">
        <v>13</v>
      </c>
      <c r="F64" s="13">
        <v>6020</v>
      </c>
      <c r="I64" t="s">
        <v>75</v>
      </c>
    </row>
    <row r="65" spans="1:11" x14ac:dyDescent="0.25">
      <c r="E65" t="s">
        <v>6</v>
      </c>
      <c r="F65" s="13" t="s">
        <v>7</v>
      </c>
    </row>
    <row r="66" spans="1:11" ht="15.75" thickBot="1" x14ac:dyDescent="0.3"/>
    <row r="67" spans="1:11" ht="30.75" thickBot="1" x14ac:dyDescent="0.3">
      <c r="A67" s="75" t="s">
        <v>42</v>
      </c>
      <c r="B67" s="165"/>
      <c r="C67" s="45">
        <v>1</v>
      </c>
      <c r="D67" s="45">
        <v>2</v>
      </c>
      <c r="E67" s="45">
        <v>3</v>
      </c>
      <c r="F67" s="45">
        <v>4</v>
      </c>
      <c r="G67" s="45">
        <v>5</v>
      </c>
      <c r="H67" s="45"/>
      <c r="I67" s="45">
        <v>7</v>
      </c>
      <c r="J67" s="51" t="s">
        <v>16</v>
      </c>
      <c r="K67" s="139" t="s">
        <v>17</v>
      </c>
    </row>
    <row r="68" spans="1:11" x14ac:dyDescent="0.25">
      <c r="A68" s="76" t="s">
        <v>43</v>
      </c>
      <c r="B68" s="166"/>
      <c r="C68" s="35">
        <f>+C55</f>
        <v>0</v>
      </c>
      <c r="D68" s="35">
        <f t="shared" ref="D68:K68" si="12">+D55</f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</row>
    <row r="69" spans="1:11" ht="15.75" thickBot="1" x14ac:dyDescent="0.3">
      <c r="A69" s="145"/>
      <c r="B69" s="191"/>
      <c r="C69" s="81"/>
      <c r="D69" s="81"/>
      <c r="E69" s="81"/>
      <c r="F69" s="81"/>
      <c r="G69" s="81"/>
      <c r="H69" s="81"/>
      <c r="I69" s="81"/>
      <c r="J69" s="81">
        <f>SUM(C69:I69)</f>
        <v>0</v>
      </c>
      <c r="K69" s="100">
        <f>+K68+J69</f>
        <v>0</v>
      </c>
    </row>
    <row r="70" spans="1:11" ht="15.75" thickBot="1" x14ac:dyDescent="0.3">
      <c r="A70" s="360"/>
      <c r="B70" s="363"/>
      <c r="C70" s="354"/>
      <c r="D70" s="354"/>
      <c r="E70" s="354"/>
      <c r="F70" s="354"/>
      <c r="G70" s="354"/>
      <c r="H70" s="354"/>
      <c r="I70" s="354">
        <f>SUM(I68:I69)</f>
        <v>0</v>
      </c>
      <c r="J70" s="83"/>
      <c r="K70" s="149">
        <f>SUM(K69)</f>
        <v>0</v>
      </c>
    </row>
    <row r="71" spans="1:11" x14ac:dyDescent="0.25">
      <c r="A71" s="256"/>
      <c r="B71" s="257"/>
      <c r="C71" s="258"/>
      <c r="D71" s="258"/>
      <c r="E71" s="258"/>
      <c r="F71" s="258"/>
      <c r="G71" s="318"/>
      <c r="H71" s="318"/>
      <c r="I71" s="318"/>
      <c r="J71" s="216">
        <f>SUM(C71:I71)</f>
        <v>0</v>
      </c>
      <c r="K71" s="362">
        <f>K70+J71</f>
        <v>0</v>
      </c>
    </row>
    <row r="72" spans="1:11" x14ac:dyDescent="0.25">
      <c r="A72" s="227"/>
      <c r="B72" s="279"/>
      <c r="C72" s="203"/>
      <c r="D72" s="203"/>
      <c r="E72" s="203"/>
      <c r="F72" s="203"/>
      <c r="G72" s="185"/>
      <c r="H72" s="185"/>
      <c r="I72" s="185"/>
      <c r="J72" s="216">
        <f>SUM(C72:I72)</f>
        <v>0</v>
      </c>
      <c r="K72" s="218">
        <f>K71+J72</f>
        <v>0</v>
      </c>
    </row>
    <row r="73" spans="1:11" ht="15.75" thickBot="1" x14ac:dyDescent="0.3">
      <c r="A73" s="336"/>
      <c r="B73" s="337"/>
      <c r="C73" s="338"/>
      <c r="D73" s="338"/>
      <c r="E73" s="338"/>
      <c r="F73" s="338"/>
      <c r="G73" s="317"/>
      <c r="H73" s="317"/>
      <c r="I73" s="317"/>
      <c r="J73" s="286">
        <f>SUM(C73:I73)</f>
        <v>0</v>
      </c>
      <c r="K73" s="388">
        <f>K72+J73</f>
        <v>0</v>
      </c>
    </row>
    <row r="74" spans="1:11" ht="15.75" thickBot="1" x14ac:dyDescent="0.3">
      <c r="A74" s="360"/>
      <c r="B74" s="363"/>
      <c r="C74" s="354">
        <f>SUM(C70:C73)</f>
        <v>0</v>
      </c>
      <c r="D74" s="354">
        <f t="shared" ref="D74:I74" si="13">SUM(D70:D73)</f>
        <v>0</v>
      </c>
      <c r="E74" s="354">
        <f t="shared" si="13"/>
        <v>0</v>
      </c>
      <c r="F74" s="354">
        <f t="shared" si="13"/>
        <v>0</v>
      </c>
      <c r="G74" s="354">
        <f t="shared" si="13"/>
        <v>0</v>
      </c>
      <c r="H74" s="354">
        <f t="shared" si="13"/>
        <v>0</v>
      </c>
      <c r="I74" s="354">
        <f t="shared" si="13"/>
        <v>0</v>
      </c>
      <c r="J74" s="83"/>
      <c r="K74" s="149">
        <f>SUM(K73)</f>
        <v>0</v>
      </c>
    </row>
    <row r="75" spans="1:11" x14ac:dyDescent="0.25">
      <c r="A75" s="256"/>
      <c r="B75" s="257"/>
      <c r="C75" s="258"/>
      <c r="D75" s="258"/>
      <c r="E75" s="258"/>
      <c r="F75" s="258"/>
      <c r="G75" s="318"/>
      <c r="H75" s="318"/>
      <c r="I75" s="318"/>
      <c r="J75" s="216"/>
      <c r="K75" s="362"/>
    </row>
    <row r="76" spans="1:11" x14ac:dyDescent="0.25">
      <c r="A76" s="227"/>
      <c r="B76" s="279"/>
      <c r="C76" s="203"/>
      <c r="D76" s="203"/>
      <c r="E76" s="203"/>
      <c r="F76" s="203"/>
      <c r="G76" s="185"/>
      <c r="H76" s="185"/>
      <c r="I76" s="185"/>
      <c r="J76" s="217"/>
      <c r="K76" s="218"/>
    </row>
    <row r="77" spans="1:11" x14ac:dyDescent="0.25">
      <c r="A77" s="227"/>
      <c r="B77" s="279"/>
      <c r="C77" s="203"/>
      <c r="D77" s="203"/>
      <c r="E77" s="203"/>
      <c r="F77" s="203"/>
      <c r="G77" s="185"/>
      <c r="H77" s="185"/>
      <c r="I77" s="185"/>
      <c r="J77" s="217"/>
      <c r="K77" s="218"/>
    </row>
    <row r="78" spans="1:11" x14ac:dyDescent="0.25">
      <c r="A78" s="227"/>
      <c r="B78" s="279"/>
      <c r="C78" s="203"/>
      <c r="D78" s="203"/>
      <c r="E78" s="203"/>
      <c r="F78" s="203"/>
      <c r="G78" s="185"/>
      <c r="H78" s="185"/>
      <c r="I78" s="185"/>
      <c r="J78" s="217"/>
      <c r="K78" s="218"/>
    </row>
    <row r="79" spans="1:11" x14ac:dyDescent="0.25">
      <c r="A79" s="62"/>
      <c r="B79" s="167"/>
      <c r="C79" s="201"/>
      <c r="D79" s="8"/>
      <c r="E79" s="16"/>
      <c r="F79" s="16"/>
      <c r="G79" s="16"/>
      <c r="H79" s="16"/>
      <c r="I79" s="16"/>
      <c r="J79" s="217"/>
      <c r="K79" s="218"/>
    </row>
    <row r="80" spans="1:11" ht="15.75" thickBot="1" x14ac:dyDescent="0.3">
      <c r="A80" s="73"/>
      <c r="B80" s="192"/>
      <c r="C80" s="10"/>
      <c r="D80" s="10"/>
      <c r="E80" s="10"/>
      <c r="F80" s="3"/>
      <c r="G80" s="3"/>
      <c r="H80" s="3"/>
      <c r="I80" s="3"/>
      <c r="J80" s="215"/>
      <c r="K80" s="267">
        <f>K79+J80</f>
        <v>0</v>
      </c>
    </row>
    <row r="81" spans="1:11" x14ac:dyDescent="0.25">
      <c r="A81" s="293"/>
      <c r="B81" s="190"/>
      <c r="C81" s="80"/>
      <c r="D81" s="80"/>
      <c r="E81" s="80"/>
      <c r="F81" s="80"/>
      <c r="G81" s="80"/>
      <c r="H81" s="80"/>
      <c r="I81" s="80"/>
      <c r="J81" s="80"/>
      <c r="K81" s="82">
        <f>SUM(K80)</f>
        <v>0</v>
      </c>
    </row>
    <row r="82" spans="1:11" x14ac:dyDescent="0.25">
      <c r="A82" s="200"/>
      <c r="B82" s="167"/>
      <c r="C82" s="8"/>
      <c r="D82" s="8"/>
      <c r="E82" s="16"/>
      <c r="F82" s="8"/>
      <c r="G82" s="8"/>
      <c r="H82" s="8"/>
      <c r="I82" s="8"/>
      <c r="J82" s="60"/>
      <c r="K82" s="9">
        <f>+K81+J82</f>
        <v>0</v>
      </c>
    </row>
    <row r="83" spans="1:11" ht="15.75" thickBot="1" x14ac:dyDescent="0.3">
      <c r="A83" s="73"/>
      <c r="B83" s="192"/>
      <c r="C83" s="10"/>
      <c r="D83" s="10"/>
      <c r="E83" s="10"/>
      <c r="F83" s="10"/>
      <c r="G83" s="10"/>
      <c r="H83" s="10"/>
      <c r="I83" s="10"/>
      <c r="J83" s="186"/>
      <c r="K83" s="11">
        <f>+K82+J83</f>
        <v>0</v>
      </c>
    </row>
    <row r="84" spans="1:11" x14ac:dyDescent="0.25">
      <c r="A84" s="79"/>
      <c r="B84" s="190"/>
      <c r="C84" s="80"/>
      <c r="D84" s="80"/>
      <c r="E84" s="80"/>
      <c r="F84" s="80"/>
      <c r="G84" s="80"/>
      <c r="H84" s="80"/>
      <c r="I84" s="80"/>
      <c r="J84" s="84"/>
      <c r="K84" s="82">
        <f>SUM(K83)</f>
        <v>0</v>
      </c>
    </row>
    <row r="85" spans="1:11" ht="15.75" thickBot="1" x14ac:dyDescent="0.3">
      <c r="A85" s="226"/>
      <c r="B85" s="205"/>
      <c r="C85" s="78"/>
      <c r="D85" s="10"/>
      <c r="E85" s="10"/>
      <c r="F85" s="78"/>
      <c r="G85" s="78"/>
      <c r="H85" s="124"/>
      <c r="I85" s="124"/>
      <c r="J85" s="78"/>
      <c r="K85" s="128">
        <f>K84+J85</f>
        <v>0</v>
      </c>
    </row>
    <row r="86" spans="1:11" x14ac:dyDescent="0.25">
      <c r="A86" s="66"/>
      <c r="B86" s="320"/>
      <c r="C86" s="35"/>
      <c r="D86" s="35"/>
      <c r="E86" s="35"/>
      <c r="F86" s="35"/>
      <c r="G86" s="35"/>
      <c r="H86" s="35"/>
      <c r="I86" s="35"/>
      <c r="J86" s="35"/>
      <c r="K86" s="12">
        <f>SUM(K85)</f>
        <v>0</v>
      </c>
    </row>
    <row r="87" spans="1:11" ht="15.75" thickBot="1" x14ac:dyDescent="0.3">
      <c r="A87" s="226"/>
      <c r="B87" s="255"/>
      <c r="C87" s="78"/>
      <c r="D87" s="78"/>
      <c r="E87" s="78"/>
      <c r="F87" s="124"/>
      <c r="G87" s="124"/>
      <c r="H87" s="124"/>
      <c r="I87" s="124"/>
      <c r="J87" s="78"/>
      <c r="K87" s="127">
        <f>K86+J87</f>
        <v>0</v>
      </c>
    </row>
    <row r="88" spans="1:11" ht="15.75" thickBot="1" x14ac:dyDescent="0.3">
      <c r="A88" s="164" t="s">
        <v>61</v>
      </c>
      <c r="B88" s="319"/>
      <c r="C88" s="83">
        <f t="shared" ref="C88:I88" si="14">SUM(C86:C87)</f>
        <v>0</v>
      </c>
      <c r="D88" s="83">
        <f t="shared" si="14"/>
        <v>0</v>
      </c>
      <c r="E88" s="83">
        <f t="shared" si="14"/>
        <v>0</v>
      </c>
      <c r="F88" s="83">
        <f t="shared" si="14"/>
        <v>0</v>
      </c>
      <c r="G88" s="83">
        <f t="shared" si="14"/>
        <v>0</v>
      </c>
      <c r="H88" s="83">
        <f t="shared" si="14"/>
        <v>0</v>
      </c>
      <c r="I88" s="83">
        <f t="shared" si="14"/>
        <v>0</v>
      </c>
      <c r="J88" s="83">
        <f>SUM(J87)</f>
        <v>0</v>
      </c>
      <c r="K88" s="149">
        <f>SUM(K87)</f>
        <v>0</v>
      </c>
    </row>
    <row r="89" spans="1:11" x14ac:dyDescent="0.25">
      <c r="A89" t="s">
        <v>5</v>
      </c>
    </row>
    <row r="91" spans="1:11" x14ac:dyDescent="0.25">
      <c r="A91" s="98"/>
      <c r="B91" s="98"/>
      <c r="C91" s="327">
        <f t="shared" ref="C91:I91" si="15">+C6-C74</f>
        <v>900000</v>
      </c>
      <c r="D91" s="327">
        <f t="shared" si="15"/>
        <v>0</v>
      </c>
      <c r="E91" s="327">
        <f t="shared" si="15"/>
        <v>415000</v>
      </c>
      <c r="F91" s="327">
        <f t="shared" si="15"/>
        <v>1200000</v>
      </c>
      <c r="G91" s="327">
        <f t="shared" si="15"/>
        <v>1000000</v>
      </c>
      <c r="H91" s="327">
        <f t="shared" si="15"/>
        <v>0</v>
      </c>
      <c r="I91" s="327">
        <f t="shared" si="15"/>
        <v>0</v>
      </c>
      <c r="J91" s="98"/>
      <c r="K91" s="327">
        <f>SUM(C91:J91)</f>
        <v>3515000</v>
      </c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88"/>
  <sheetViews>
    <sheetView view="pageLayout" topLeftCell="A165" zoomScaleNormal="100" workbookViewId="0">
      <selection activeCell="H180" sqref="H180"/>
    </sheetView>
  </sheetViews>
  <sheetFormatPr baseColWidth="10" defaultColWidth="11.42578125" defaultRowHeight="15" x14ac:dyDescent="0.25"/>
  <cols>
    <col min="1" max="1" width="13.140625" customWidth="1"/>
    <col min="2" max="3" width="13" customWidth="1"/>
    <col min="4" max="4" width="12" customWidth="1"/>
    <col min="5" max="5" width="13.28515625" customWidth="1"/>
    <col min="6" max="6" width="12" customWidth="1"/>
    <col min="7" max="7" width="12.42578125" customWidth="1"/>
    <col min="8" max="8" width="11.28515625" customWidth="1"/>
    <col min="9" max="9" width="12.7109375" customWidth="1"/>
    <col min="10" max="10" width="12.42578125" customWidth="1"/>
    <col min="11" max="11" width="13.140625" customWidth="1"/>
    <col min="12" max="13" width="12.85546875" customWidth="1"/>
  </cols>
  <sheetData>
    <row r="1" spans="1:11" x14ac:dyDescent="0.25">
      <c r="A1" t="s">
        <v>9</v>
      </c>
      <c r="E1" t="s">
        <v>50</v>
      </c>
      <c r="I1" t="s">
        <v>14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6031</v>
      </c>
      <c r="I3" s="13" t="s">
        <v>75</v>
      </c>
    </row>
    <row r="4" spans="1:11" x14ac:dyDescent="0.25">
      <c r="E4" t="s">
        <v>6</v>
      </c>
      <c r="F4" s="13" t="s">
        <v>10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96">
        <v>1</v>
      </c>
      <c r="D6" s="97">
        <v>2</v>
      </c>
      <c r="E6" s="45">
        <v>3</v>
      </c>
      <c r="F6" s="97">
        <v>4</v>
      </c>
      <c r="G6" s="97">
        <v>5</v>
      </c>
      <c r="H6" s="97"/>
      <c r="I6" s="97">
        <v>7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102">
        <v>11664000</v>
      </c>
      <c r="D7" s="102">
        <v>1262000</v>
      </c>
      <c r="E7" s="102"/>
      <c r="F7" s="102">
        <v>1400000</v>
      </c>
      <c r="G7" s="102">
        <v>2150000</v>
      </c>
      <c r="H7" s="102"/>
      <c r="I7" s="102"/>
      <c r="J7" s="103">
        <f>SUM(B7:I7)</f>
        <v>16476000</v>
      </c>
      <c r="K7" s="104">
        <f>J7</f>
        <v>16476000</v>
      </c>
    </row>
    <row r="8" spans="1:11" ht="39" x14ac:dyDescent="0.25">
      <c r="A8" s="31" t="s">
        <v>19</v>
      </c>
      <c r="B8" s="20"/>
      <c r="C8" s="111"/>
      <c r="D8" s="112"/>
      <c r="E8" s="111"/>
      <c r="F8" s="111"/>
      <c r="G8" s="111"/>
      <c r="H8" s="111"/>
      <c r="I8" s="111"/>
      <c r="J8" s="112">
        <f>SUM(B8:I8)</f>
        <v>0</v>
      </c>
      <c r="K8" s="107"/>
    </row>
    <row r="9" spans="1:11" x14ac:dyDescent="0.25">
      <c r="A9" s="32" t="s">
        <v>2</v>
      </c>
      <c r="B9" s="6"/>
      <c r="C9" s="113"/>
      <c r="D9" s="113"/>
      <c r="E9" s="113"/>
      <c r="F9" s="113"/>
      <c r="G9" s="113"/>
      <c r="H9" s="113"/>
      <c r="I9" s="113"/>
      <c r="J9" s="113">
        <v>0</v>
      </c>
      <c r="K9" s="107">
        <f>K8+J9</f>
        <v>0</v>
      </c>
    </row>
    <row r="10" spans="1:11" x14ac:dyDescent="0.25">
      <c r="A10" s="32" t="s">
        <v>3</v>
      </c>
      <c r="B10" s="6"/>
      <c r="C10" s="113"/>
      <c r="D10" s="113"/>
      <c r="E10" s="113"/>
      <c r="F10" s="113"/>
      <c r="G10" s="113"/>
      <c r="H10" s="113"/>
      <c r="I10" s="113"/>
      <c r="J10" s="113">
        <v>0</v>
      </c>
      <c r="K10" s="107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106">
        <f t="shared" si="0"/>
        <v>11664000</v>
      </c>
      <c r="D11" s="106">
        <f t="shared" si="0"/>
        <v>1262000</v>
      </c>
      <c r="E11" s="106">
        <f t="shared" si="0"/>
        <v>0</v>
      </c>
      <c r="F11" s="106">
        <f t="shared" si="0"/>
        <v>1400000</v>
      </c>
      <c r="G11" s="106">
        <f t="shared" si="0"/>
        <v>2150000</v>
      </c>
      <c r="H11" s="106">
        <f t="shared" si="0"/>
        <v>0</v>
      </c>
      <c r="I11" s="106">
        <f t="shared" si="0"/>
        <v>0</v>
      </c>
      <c r="J11" s="106">
        <f t="shared" si="0"/>
        <v>16476000</v>
      </c>
      <c r="K11" s="107">
        <f>K10+J11</f>
        <v>16476000</v>
      </c>
    </row>
    <row r="12" spans="1:11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1" x14ac:dyDescent="0.25">
      <c r="A13" s="398" t="s">
        <v>96</v>
      </c>
      <c r="B13" s="59"/>
      <c r="C13" s="421">
        <v>90708</v>
      </c>
      <c r="D13" s="59"/>
      <c r="E13" s="59"/>
      <c r="F13" s="59"/>
      <c r="G13" s="59"/>
      <c r="H13" s="59"/>
      <c r="I13" s="59"/>
      <c r="J13" s="59">
        <f>SUM(B13:I13)</f>
        <v>90708</v>
      </c>
      <c r="K13" s="67">
        <f>J13</f>
        <v>90708</v>
      </c>
    </row>
    <row r="14" spans="1:11" x14ac:dyDescent="0.25">
      <c r="A14" s="399" t="s">
        <v>97</v>
      </c>
      <c r="B14" s="8"/>
      <c r="C14" s="418">
        <v>453540</v>
      </c>
      <c r="D14" s="8"/>
      <c r="E14" s="8"/>
      <c r="F14" s="8"/>
      <c r="G14" s="8"/>
      <c r="H14" s="8"/>
      <c r="I14" s="8"/>
      <c r="J14" s="8">
        <f>SUM(C14:I14)</f>
        <v>453540</v>
      </c>
      <c r="K14" s="8">
        <f>K13+J14</f>
        <v>544248</v>
      </c>
    </row>
    <row r="15" spans="1:11" x14ac:dyDescent="0.25">
      <c r="A15" s="93" t="s">
        <v>99</v>
      </c>
      <c r="B15" s="8"/>
      <c r="C15" s="418">
        <v>90708</v>
      </c>
      <c r="D15" s="8"/>
      <c r="E15" s="8"/>
      <c r="F15" s="8"/>
      <c r="G15" s="8"/>
      <c r="H15" s="8"/>
      <c r="I15" s="8"/>
      <c r="J15" s="8">
        <f t="shared" ref="J15:J20" si="1">SUM(C15:I15)</f>
        <v>90708</v>
      </c>
      <c r="K15" s="9">
        <f t="shared" ref="K15:K24" si="2">+J15+K14</f>
        <v>634956</v>
      </c>
    </row>
    <row r="16" spans="1:11" x14ac:dyDescent="0.25">
      <c r="A16" s="140" t="s">
        <v>87</v>
      </c>
      <c r="B16" s="81"/>
      <c r="C16" s="424">
        <v>7819</v>
      </c>
      <c r="D16" s="81"/>
      <c r="E16" s="81"/>
      <c r="F16" s="81"/>
      <c r="G16" s="80"/>
      <c r="H16" s="80"/>
      <c r="I16" s="80"/>
      <c r="J16" s="8">
        <f t="shared" si="1"/>
        <v>7819</v>
      </c>
      <c r="K16" s="9">
        <f t="shared" si="2"/>
        <v>642775</v>
      </c>
    </row>
    <row r="17" spans="1:11" x14ac:dyDescent="0.25">
      <c r="A17" s="92" t="s">
        <v>105</v>
      </c>
      <c r="B17" s="8"/>
      <c r="C17" s="418">
        <v>32865</v>
      </c>
      <c r="D17" s="8"/>
      <c r="E17" s="8"/>
      <c r="F17" s="8"/>
      <c r="G17" s="8"/>
      <c r="H17" s="8"/>
      <c r="I17" s="8"/>
      <c r="J17" s="8">
        <f t="shared" si="1"/>
        <v>32865</v>
      </c>
      <c r="K17" s="9">
        <f t="shared" si="2"/>
        <v>675640</v>
      </c>
    </row>
    <row r="18" spans="1:11" x14ac:dyDescent="0.25">
      <c r="A18" s="92" t="s">
        <v>110</v>
      </c>
      <c r="B18" s="8"/>
      <c r="C18" s="8"/>
      <c r="D18" s="418">
        <v>75705</v>
      </c>
      <c r="E18" s="8"/>
      <c r="F18" s="8"/>
      <c r="G18" s="16"/>
      <c r="H18" s="16"/>
      <c r="I18" s="16"/>
      <c r="J18" s="8">
        <f t="shared" si="1"/>
        <v>75705</v>
      </c>
      <c r="K18" s="9">
        <f t="shared" si="2"/>
        <v>751345</v>
      </c>
    </row>
    <row r="19" spans="1:11" x14ac:dyDescent="0.25">
      <c r="A19" s="92" t="s">
        <v>122</v>
      </c>
      <c r="B19" s="8"/>
      <c r="C19" s="418">
        <v>90708</v>
      </c>
      <c r="D19" s="8"/>
      <c r="E19" s="8"/>
      <c r="F19" s="8"/>
      <c r="G19" s="16"/>
      <c r="H19" s="16"/>
      <c r="I19" s="16"/>
      <c r="J19" s="8">
        <f t="shared" si="1"/>
        <v>90708</v>
      </c>
      <c r="K19" s="9">
        <f t="shared" si="2"/>
        <v>842053</v>
      </c>
    </row>
    <row r="20" spans="1:11" x14ac:dyDescent="0.25">
      <c r="A20" s="156" t="s">
        <v>124</v>
      </c>
      <c r="B20" s="64"/>
      <c r="C20" s="417">
        <v>453540</v>
      </c>
      <c r="D20" s="64"/>
      <c r="E20" s="64"/>
      <c r="F20" s="64"/>
      <c r="G20" s="64"/>
      <c r="H20" s="64"/>
      <c r="I20" s="64"/>
      <c r="J20" s="64">
        <f t="shared" si="1"/>
        <v>453540</v>
      </c>
      <c r="K20" s="65">
        <f t="shared" si="2"/>
        <v>1295593</v>
      </c>
    </row>
    <row r="21" spans="1:11" x14ac:dyDescent="0.25">
      <c r="A21" s="400" t="s">
        <v>125</v>
      </c>
      <c r="B21" s="8"/>
      <c r="C21" s="418">
        <v>90708</v>
      </c>
      <c r="D21" s="8"/>
      <c r="E21" s="8"/>
      <c r="F21" s="8"/>
      <c r="G21" s="8"/>
      <c r="H21" s="8"/>
      <c r="I21" s="8"/>
      <c r="J21" s="8">
        <f>SUM(C21:I21)</f>
        <v>90708</v>
      </c>
      <c r="K21" s="65">
        <f t="shared" si="2"/>
        <v>1386301</v>
      </c>
    </row>
    <row r="22" spans="1:11" x14ac:dyDescent="0.25">
      <c r="A22" s="93" t="s">
        <v>134</v>
      </c>
      <c r="B22" s="8"/>
      <c r="C22" s="418">
        <v>7819</v>
      </c>
      <c r="D22" s="8"/>
      <c r="E22" s="16"/>
      <c r="F22" s="8"/>
      <c r="G22" s="8"/>
      <c r="H22" s="8"/>
      <c r="I22" s="8"/>
      <c r="J22" s="8">
        <f>SUM(C22:I22)</f>
        <v>7819</v>
      </c>
      <c r="K22" s="65">
        <f t="shared" si="2"/>
        <v>1394120</v>
      </c>
    </row>
    <row r="23" spans="1:11" x14ac:dyDescent="0.25">
      <c r="A23" s="406" t="s">
        <v>138</v>
      </c>
      <c r="B23" s="64"/>
      <c r="C23" s="417">
        <v>32865</v>
      </c>
      <c r="D23" s="64"/>
      <c r="E23" s="70"/>
      <c r="F23" s="64"/>
      <c r="G23" s="64"/>
      <c r="H23" s="64"/>
      <c r="I23" s="64"/>
      <c r="J23" s="8">
        <f>SUM(C23:I23)</f>
        <v>32865</v>
      </c>
      <c r="K23" s="65">
        <f t="shared" si="2"/>
        <v>1426985</v>
      </c>
    </row>
    <row r="24" spans="1:11" ht="14.25" customHeight="1" thickBot="1" x14ac:dyDescent="0.3">
      <c r="A24" s="430" t="s">
        <v>141</v>
      </c>
      <c r="B24" s="64"/>
      <c r="C24" s="64"/>
      <c r="D24" s="417">
        <v>75705</v>
      </c>
      <c r="E24" s="70"/>
      <c r="F24" s="70"/>
      <c r="G24" s="70"/>
      <c r="H24" s="70"/>
      <c r="I24" s="70"/>
      <c r="J24" s="64">
        <f>SUM(C24:I24)</f>
        <v>75705</v>
      </c>
      <c r="K24" s="65">
        <f t="shared" si="2"/>
        <v>1502690</v>
      </c>
    </row>
    <row r="25" spans="1:11" ht="16.5" customHeight="1" thickBot="1" x14ac:dyDescent="0.3">
      <c r="A25" s="164" t="s">
        <v>0</v>
      </c>
      <c r="B25" s="83" t="s">
        <v>51</v>
      </c>
      <c r="C25" s="83">
        <f t="shared" ref="C25:I25" si="3">SUM(C13:C24)</f>
        <v>1351280</v>
      </c>
      <c r="D25" s="83">
        <f t="shared" si="3"/>
        <v>151410</v>
      </c>
      <c r="E25" s="83">
        <f t="shared" si="3"/>
        <v>0</v>
      </c>
      <c r="F25" s="83">
        <f t="shared" si="3"/>
        <v>0</v>
      </c>
      <c r="G25" s="83">
        <f t="shared" si="3"/>
        <v>0</v>
      </c>
      <c r="H25" s="83">
        <f t="shared" si="3"/>
        <v>0</v>
      </c>
      <c r="I25" s="83">
        <f t="shared" si="3"/>
        <v>0</v>
      </c>
      <c r="J25" s="83">
        <f>SUM(J13:J24)</f>
        <v>1502690</v>
      </c>
      <c r="K25" s="149">
        <f>+K24</f>
        <v>1502690</v>
      </c>
    </row>
    <row r="26" spans="1:11" x14ac:dyDescent="0.25">
      <c r="A26" t="s">
        <v>5</v>
      </c>
    </row>
    <row r="27" spans="1:11" x14ac:dyDescent="0.25">
      <c r="A27" s="98"/>
      <c r="B27" s="98"/>
      <c r="C27" s="327">
        <f t="shared" ref="C27:I27" si="4">C7-C25</f>
        <v>10312720</v>
      </c>
      <c r="D27" s="327">
        <f t="shared" si="4"/>
        <v>1110590</v>
      </c>
      <c r="E27" s="327">
        <f t="shared" si="4"/>
        <v>0</v>
      </c>
      <c r="F27" s="327">
        <f t="shared" si="4"/>
        <v>1400000</v>
      </c>
      <c r="G27" s="327">
        <f t="shared" si="4"/>
        <v>2150000</v>
      </c>
      <c r="H27" s="327">
        <f t="shared" si="4"/>
        <v>0</v>
      </c>
      <c r="I27" s="327">
        <f t="shared" si="4"/>
        <v>0</v>
      </c>
      <c r="J27" s="327"/>
      <c r="K27" s="327">
        <f>K7-K25</f>
        <v>14973310</v>
      </c>
    </row>
    <row r="28" spans="1:11" x14ac:dyDescent="0.25">
      <c r="A28" s="146"/>
      <c r="B28" s="146"/>
      <c r="C28" s="344"/>
      <c r="D28" s="344"/>
      <c r="E28" s="344"/>
      <c r="F28" s="344"/>
      <c r="G28" s="344"/>
      <c r="H28" s="344"/>
      <c r="I28" s="344"/>
      <c r="J28" s="344"/>
      <c r="K28" s="344"/>
    </row>
    <row r="29" spans="1:11" x14ac:dyDescent="0.25">
      <c r="A29" t="s">
        <v>9</v>
      </c>
      <c r="E29" t="s">
        <v>50</v>
      </c>
      <c r="I29" t="s">
        <v>45</v>
      </c>
    </row>
    <row r="30" spans="1:11" x14ac:dyDescent="0.25">
      <c r="A30" t="s">
        <v>44</v>
      </c>
    </row>
    <row r="31" spans="1:11" x14ac:dyDescent="0.25">
      <c r="E31" t="s">
        <v>13</v>
      </c>
      <c r="F31" s="13">
        <v>6031</v>
      </c>
      <c r="I31" t="s">
        <v>75</v>
      </c>
    </row>
    <row r="32" spans="1:11" ht="15.75" thickBot="1" x14ac:dyDescent="0.3">
      <c r="E32" t="s">
        <v>6</v>
      </c>
      <c r="F32" s="13" t="s">
        <v>7</v>
      </c>
    </row>
    <row r="33" spans="1:11" ht="30.75" thickBot="1" x14ac:dyDescent="0.3">
      <c r="A33" s="75" t="s">
        <v>42</v>
      </c>
      <c r="B33" s="16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6</v>
      </c>
      <c r="I33" s="45">
        <v>7</v>
      </c>
      <c r="J33" s="51" t="s">
        <v>16</v>
      </c>
      <c r="K33" s="139" t="s">
        <v>17</v>
      </c>
    </row>
    <row r="34" spans="1:11" x14ac:dyDescent="0.25">
      <c r="A34" s="76" t="s">
        <v>43</v>
      </c>
      <c r="B34" s="166"/>
      <c r="C34" s="35">
        <f t="shared" ref="C34:K34" si="5">+C25</f>
        <v>1351280</v>
      </c>
      <c r="D34" s="35">
        <f t="shared" si="5"/>
        <v>151410</v>
      </c>
      <c r="E34" s="35">
        <f t="shared" si="5"/>
        <v>0</v>
      </c>
      <c r="F34" s="35">
        <f t="shared" si="5"/>
        <v>0</v>
      </c>
      <c r="G34" s="35">
        <f t="shared" si="5"/>
        <v>0</v>
      </c>
      <c r="H34" s="35">
        <f t="shared" si="5"/>
        <v>0</v>
      </c>
      <c r="I34" s="35">
        <f t="shared" si="5"/>
        <v>0</v>
      </c>
      <c r="J34" s="35">
        <f t="shared" si="5"/>
        <v>1502690</v>
      </c>
      <c r="K34" s="12">
        <f t="shared" si="5"/>
        <v>1502690</v>
      </c>
    </row>
    <row r="35" spans="1:11" x14ac:dyDescent="0.25">
      <c r="A35" s="62" t="s">
        <v>194</v>
      </c>
      <c r="B35" s="197"/>
      <c r="C35" s="8">
        <v>90708</v>
      </c>
      <c r="D35" s="8"/>
      <c r="E35" s="176"/>
      <c r="F35" s="176"/>
      <c r="G35" s="176"/>
      <c r="H35" s="8"/>
      <c r="I35" s="8"/>
      <c r="J35" s="8">
        <f>SUM(C35:I35)</f>
        <v>90708</v>
      </c>
      <c r="K35" s="9">
        <f>+K34+J35</f>
        <v>1593398</v>
      </c>
    </row>
    <row r="36" spans="1:11" x14ac:dyDescent="0.25">
      <c r="A36" s="226" t="s">
        <v>195</v>
      </c>
      <c r="B36" s="219"/>
      <c r="C36" s="78">
        <v>90708</v>
      </c>
      <c r="D36" s="78"/>
      <c r="E36" s="221"/>
      <c r="F36" s="221"/>
      <c r="G36" s="221"/>
      <c r="H36" s="78"/>
      <c r="I36" s="78"/>
      <c r="J36" s="8">
        <f t="shared" ref="J36:J44" si="6">SUM(C36:I36)</f>
        <v>90708</v>
      </c>
      <c r="K36" s="9">
        <f t="shared" ref="K36:K44" si="7">+K35+J36</f>
        <v>1684106</v>
      </c>
    </row>
    <row r="37" spans="1:11" x14ac:dyDescent="0.25">
      <c r="A37" s="62" t="s">
        <v>196</v>
      </c>
      <c r="B37" s="167"/>
      <c r="C37" s="8">
        <v>90708</v>
      </c>
      <c r="D37" s="8"/>
      <c r="E37" s="8"/>
      <c r="F37" s="8"/>
      <c r="G37" s="8"/>
      <c r="H37" s="8"/>
      <c r="I37" s="163"/>
      <c r="J37" s="8">
        <f t="shared" si="6"/>
        <v>90708</v>
      </c>
      <c r="K37" s="9">
        <f t="shared" si="7"/>
        <v>1774814</v>
      </c>
    </row>
    <row r="38" spans="1:11" x14ac:dyDescent="0.25">
      <c r="A38" s="145" t="s">
        <v>197</v>
      </c>
      <c r="B38" s="191"/>
      <c r="C38" s="81">
        <v>90708</v>
      </c>
      <c r="D38" s="81"/>
      <c r="E38" s="81"/>
      <c r="F38" s="271"/>
      <c r="G38" s="81"/>
      <c r="H38" s="81"/>
      <c r="I38" s="81"/>
      <c r="J38" s="8">
        <f t="shared" si="6"/>
        <v>90708</v>
      </c>
      <c r="K38" s="9">
        <f t="shared" si="7"/>
        <v>1865522</v>
      </c>
    </row>
    <row r="39" spans="1:11" x14ac:dyDescent="0.25">
      <c r="A39" s="62" t="s">
        <v>198</v>
      </c>
      <c r="B39" s="167"/>
      <c r="C39" s="217">
        <v>90708</v>
      </c>
      <c r="D39" s="217"/>
      <c r="E39" s="321"/>
      <c r="F39" s="176"/>
      <c r="G39" s="176"/>
      <c r="H39" s="176"/>
      <c r="I39" s="176"/>
      <c r="J39" s="8">
        <f t="shared" si="6"/>
        <v>90708</v>
      </c>
      <c r="K39" s="9">
        <f t="shared" si="7"/>
        <v>1956230</v>
      </c>
    </row>
    <row r="40" spans="1:11" x14ac:dyDescent="0.25">
      <c r="A40" s="79" t="s">
        <v>199</v>
      </c>
      <c r="B40" s="224"/>
      <c r="C40" s="80">
        <v>90708</v>
      </c>
      <c r="D40" s="80"/>
      <c r="E40" s="80"/>
      <c r="F40" s="80"/>
      <c r="G40" s="80"/>
      <c r="H40" s="80"/>
      <c r="I40" s="80"/>
      <c r="J40" s="8">
        <f t="shared" si="6"/>
        <v>90708</v>
      </c>
      <c r="K40" s="9">
        <f t="shared" si="7"/>
        <v>2046938</v>
      </c>
    </row>
    <row r="41" spans="1:11" x14ac:dyDescent="0.25">
      <c r="A41" s="183" t="s">
        <v>200</v>
      </c>
      <c r="B41" s="197"/>
      <c r="C41" s="228">
        <v>90708</v>
      </c>
      <c r="D41" s="176"/>
      <c r="E41" s="176"/>
      <c r="F41" s="176"/>
      <c r="G41" s="176"/>
      <c r="H41" s="176"/>
      <c r="I41" s="176"/>
      <c r="J41" s="8">
        <f t="shared" si="6"/>
        <v>90708</v>
      </c>
      <c r="K41" s="9">
        <f t="shared" si="7"/>
        <v>2137646</v>
      </c>
    </row>
    <row r="42" spans="1:11" x14ac:dyDescent="0.25">
      <c r="A42" s="183" t="s">
        <v>215</v>
      </c>
      <c r="B42" s="197"/>
      <c r="C42" s="176">
        <v>7819</v>
      </c>
      <c r="D42" s="176"/>
      <c r="E42" s="176"/>
      <c r="F42" s="176"/>
      <c r="G42" s="176"/>
      <c r="H42" s="176"/>
      <c r="I42" s="176"/>
      <c r="J42" s="8">
        <f t="shared" si="6"/>
        <v>7819</v>
      </c>
      <c r="K42" s="9">
        <f t="shared" si="7"/>
        <v>2145465</v>
      </c>
    </row>
    <row r="43" spans="1:11" x14ac:dyDescent="0.25">
      <c r="A43" s="229" t="s">
        <v>221</v>
      </c>
      <c r="B43" s="230"/>
      <c r="C43" s="231">
        <v>32865</v>
      </c>
      <c r="D43" s="231"/>
      <c r="E43" s="231"/>
      <c r="F43" s="231"/>
      <c r="G43" s="231"/>
      <c r="H43" s="231"/>
      <c r="I43" s="231"/>
      <c r="J43" s="8">
        <f t="shared" si="6"/>
        <v>32865</v>
      </c>
      <c r="K43" s="9">
        <f t="shared" si="7"/>
        <v>2178330</v>
      </c>
    </row>
    <row r="44" spans="1:11" ht="15.75" thickBot="1" x14ac:dyDescent="0.3">
      <c r="A44" s="464" t="s">
        <v>227</v>
      </c>
      <c r="B44" s="198"/>
      <c r="C44" s="194"/>
      <c r="D44" s="194">
        <v>75705</v>
      </c>
      <c r="E44" s="194"/>
      <c r="F44" s="194"/>
      <c r="G44" s="194"/>
      <c r="H44" s="194"/>
      <c r="I44" s="194"/>
      <c r="J44" s="8">
        <f t="shared" si="6"/>
        <v>75705</v>
      </c>
      <c r="K44" s="9">
        <f t="shared" si="7"/>
        <v>2254035</v>
      </c>
    </row>
    <row r="45" spans="1:11" x14ac:dyDescent="0.25">
      <c r="A45" s="479" t="s">
        <v>370</v>
      </c>
      <c r="B45" s="465"/>
      <c r="C45" s="246">
        <f>SUM(C34:C44)</f>
        <v>2026920</v>
      </c>
      <c r="D45" s="246">
        <f t="shared" ref="D45:I45" si="8">SUM(D34:D44)</f>
        <v>227115</v>
      </c>
      <c r="E45" s="246">
        <f t="shared" si="8"/>
        <v>0</v>
      </c>
      <c r="F45" s="246">
        <f t="shared" si="8"/>
        <v>0</v>
      </c>
      <c r="G45" s="246">
        <f t="shared" si="8"/>
        <v>0</v>
      </c>
      <c r="H45" s="246">
        <f t="shared" si="8"/>
        <v>0</v>
      </c>
      <c r="I45" s="246">
        <f t="shared" si="8"/>
        <v>0</v>
      </c>
      <c r="J45" s="246">
        <f>SUM(J35:J44)</f>
        <v>751345</v>
      </c>
      <c r="K45" s="12">
        <f>+K44</f>
        <v>2254035</v>
      </c>
    </row>
    <row r="46" spans="1:11" x14ac:dyDescent="0.25">
      <c r="A46" s="256" t="s">
        <v>270</v>
      </c>
      <c r="B46" s="230"/>
      <c r="C46" s="258">
        <v>90708</v>
      </c>
      <c r="D46" s="231"/>
      <c r="E46" s="231"/>
      <c r="F46" s="231"/>
      <c r="G46" s="231"/>
      <c r="H46" s="231"/>
      <c r="I46" s="231"/>
      <c r="J46" s="258">
        <f>SUM(C46:I46)</f>
        <v>90708</v>
      </c>
      <c r="K46" s="100">
        <f>K45+J46</f>
        <v>2344743</v>
      </c>
    </row>
    <row r="47" spans="1:11" x14ac:dyDescent="0.25">
      <c r="A47" s="200" t="s">
        <v>271</v>
      </c>
      <c r="B47" s="167"/>
      <c r="C47" s="8">
        <v>90708</v>
      </c>
      <c r="D47" s="8"/>
      <c r="E47" s="8"/>
      <c r="F47" s="8"/>
      <c r="G47" s="8"/>
      <c r="H47" s="8"/>
      <c r="I47" s="8"/>
      <c r="J47" s="258">
        <f t="shared" ref="J47:J55" si="9">SUM(C47:I47)</f>
        <v>90708</v>
      </c>
      <c r="K47" s="100">
        <f t="shared" ref="K47:K55" si="10">K46+J47</f>
        <v>2435451</v>
      </c>
    </row>
    <row r="48" spans="1:11" x14ac:dyDescent="0.25">
      <c r="A48" s="62" t="s">
        <v>272</v>
      </c>
      <c r="B48" s="167"/>
      <c r="C48" s="8">
        <v>90708</v>
      </c>
      <c r="D48" s="8"/>
      <c r="E48" s="8"/>
      <c r="F48" s="8"/>
      <c r="G48" s="8"/>
      <c r="H48" s="8"/>
      <c r="I48" s="8"/>
      <c r="J48" s="258">
        <f t="shared" si="9"/>
        <v>90708</v>
      </c>
      <c r="K48" s="100">
        <f t="shared" si="10"/>
        <v>2526159</v>
      </c>
    </row>
    <row r="49" spans="1:11" x14ac:dyDescent="0.25">
      <c r="A49" s="62" t="s">
        <v>273</v>
      </c>
      <c r="B49" s="167"/>
      <c r="C49" s="8">
        <v>90708</v>
      </c>
      <c r="D49" s="8"/>
      <c r="E49" s="8"/>
      <c r="F49" s="8"/>
      <c r="G49" s="8"/>
      <c r="H49" s="8"/>
      <c r="I49" s="8"/>
      <c r="J49" s="258">
        <f t="shared" si="9"/>
        <v>90708</v>
      </c>
      <c r="K49" s="100">
        <f t="shared" si="10"/>
        <v>2616867</v>
      </c>
    </row>
    <row r="50" spans="1:11" x14ac:dyDescent="0.25">
      <c r="A50" s="62" t="s">
        <v>274</v>
      </c>
      <c r="B50" s="167"/>
      <c r="C50" s="8">
        <v>90708</v>
      </c>
      <c r="D50" s="8"/>
      <c r="E50" s="8"/>
      <c r="F50" s="8"/>
      <c r="G50" s="8"/>
      <c r="H50" s="8"/>
      <c r="I50" s="8"/>
      <c r="J50" s="258">
        <f t="shared" si="9"/>
        <v>90708</v>
      </c>
      <c r="K50" s="100">
        <f t="shared" si="10"/>
        <v>2707575</v>
      </c>
    </row>
    <row r="51" spans="1:11" x14ac:dyDescent="0.25">
      <c r="A51" s="145" t="s">
        <v>275</v>
      </c>
      <c r="B51" s="190"/>
      <c r="C51" s="81">
        <v>90708</v>
      </c>
      <c r="D51" s="80"/>
      <c r="E51" s="80"/>
      <c r="F51" s="80"/>
      <c r="G51" s="80"/>
      <c r="H51" s="80"/>
      <c r="I51" s="80"/>
      <c r="J51" s="258">
        <f t="shared" si="9"/>
        <v>90708</v>
      </c>
      <c r="K51" s="100">
        <f t="shared" si="10"/>
        <v>2798283</v>
      </c>
    </row>
    <row r="52" spans="1:11" x14ac:dyDescent="0.25">
      <c r="A52" s="62" t="s">
        <v>276</v>
      </c>
      <c r="B52" s="167"/>
      <c r="C52" s="8">
        <v>90708</v>
      </c>
      <c r="D52" s="8"/>
      <c r="E52" s="8"/>
      <c r="F52" s="8"/>
      <c r="G52" s="8"/>
      <c r="H52" s="8"/>
      <c r="I52" s="8"/>
      <c r="J52" s="258">
        <f t="shared" si="9"/>
        <v>90708</v>
      </c>
      <c r="K52" s="100">
        <f t="shared" si="10"/>
        <v>2888991</v>
      </c>
    </row>
    <row r="53" spans="1:11" x14ac:dyDescent="0.25">
      <c r="A53" s="62" t="s">
        <v>285</v>
      </c>
      <c r="B53" s="200"/>
      <c r="C53" s="8">
        <v>7819</v>
      </c>
      <c r="D53" s="8"/>
      <c r="E53" s="8"/>
      <c r="F53" s="8"/>
      <c r="G53" s="8"/>
      <c r="H53" s="8"/>
      <c r="I53" s="8"/>
      <c r="J53" s="258">
        <f t="shared" si="9"/>
        <v>7819</v>
      </c>
      <c r="K53" s="100">
        <f t="shared" si="10"/>
        <v>2896810</v>
      </c>
    </row>
    <row r="54" spans="1:11" x14ac:dyDescent="0.25">
      <c r="A54" s="62" t="s">
        <v>291</v>
      </c>
      <c r="B54" s="167"/>
      <c r="C54" s="8">
        <v>32865</v>
      </c>
      <c r="D54" s="8"/>
      <c r="E54" s="8"/>
      <c r="F54" s="8"/>
      <c r="G54" s="8"/>
      <c r="H54" s="8"/>
      <c r="I54" s="8"/>
      <c r="J54" s="258">
        <f t="shared" si="9"/>
        <v>32865</v>
      </c>
      <c r="K54" s="100">
        <f t="shared" si="10"/>
        <v>2929675</v>
      </c>
    </row>
    <row r="55" spans="1:11" ht="15.75" thickBot="1" x14ac:dyDescent="0.3">
      <c r="A55" s="434" t="s">
        <v>297</v>
      </c>
      <c r="B55" s="435"/>
      <c r="C55" s="10"/>
      <c r="D55" s="10">
        <v>75705</v>
      </c>
      <c r="E55" s="10"/>
      <c r="F55" s="10"/>
      <c r="G55" s="10"/>
      <c r="H55" s="10"/>
      <c r="I55" s="10"/>
      <c r="J55" s="214">
        <f t="shared" si="9"/>
        <v>75705</v>
      </c>
      <c r="K55" s="100">
        <f t="shared" si="10"/>
        <v>3005380</v>
      </c>
    </row>
    <row r="56" spans="1:11" x14ac:dyDescent="0.25">
      <c r="A56" s="433" t="s">
        <v>59</v>
      </c>
      <c r="B56" s="432"/>
      <c r="C56" s="124">
        <f>SUM(C45:C55)</f>
        <v>2702560</v>
      </c>
      <c r="D56" s="124">
        <f t="shared" ref="D56:I56" si="11">SUM(D45:D55)</f>
        <v>302820</v>
      </c>
      <c r="E56" s="124">
        <f t="shared" si="11"/>
        <v>0</v>
      </c>
      <c r="F56" s="124">
        <f t="shared" si="11"/>
        <v>0</v>
      </c>
      <c r="G56" s="124">
        <f t="shared" si="11"/>
        <v>0</v>
      </c>
      <c r="H56" s="124">
        <f t="shared" si="11"/>
        <v>0</v>
      </c>
      <c r="I56" s="124">
        <f t="shared" si="11"/>
        <v>0</v>
      </c>
      <c r="J56" s="80">
        <f>SUM(J46:J55)</f>
        <v>751345</v>
      </c>
      <c r="K56" s="12">
        <f>K55</f>
        <v>3005380</v>
      </c>
    </row>
    <row r="57" spans="1:11" ht="15.75" thickBot="1" x14ac:dyDescent="0.3">
      <c r="A57" s="73" t="s">
        <v>339</v>
      </c>
      <c r="B57" s="192"/>
      <c r="C57" s="10">
        <v>90708</v>
      </c>
      <c r="D57" s="10"/>
      <c r="E57" s="10"/>
      <c r="F57" s="10"/>
      <c r="G57" s="10"/>
      <c r="H57" s="10"/>
      <c r="I57" s="10"/>
      <c r="J57" s="10">
        <f>SUM(C57:I57)</f>
        <v>90708</v>
      </c>
      <c r="K57" s="11">
        <f>+K55+J57</f>
        <v>3096088</v>
      </c>
    </row>
    <row r="58" spans="1:11" ht="15.75" thickBot="1" x14ac:dyDescent="0.3">
      <c r="A58" s="36" t="s">
        <v>61</v>
      </c>
      <c r="B58" s="193"/>
      <c r="C58" s="83">
        <f>SUM(C56:C57)</f>
        <v>2793268</v>
      </c>
      <c r="D58" s="83">
        <f t="shared" ref="D58:I58" si="12">SUM(D56:D57)</f>
        <v>302820</v>
      </c>
      <c r="E58" s="83">
        <f t="shared" si="12"/>
        <v>0</v>
      </c>
      <c r="F58" s="83">
        <f t="shared" si="12"/>
        <v>0</v>
      </c>
      <c r="G58" s="83">
        <f t="shared" si="12"/>
        <v>0</v>
      </c>
      <c r="H58" s="83">
        <f t="shared" si="12"/>
        <v>0</v>
      </c>
      <c r="I58" s="83">
        <f t="shared" si="12"/>
        <v>0</v>
      </c>
      <c r="J58" s="15">
        <f>SUM(J57)</f>
        <v>90708</v>
      </c>
      <c r="K58" s="14">
        <f>SUM(K57)</f>
        <v>3096088</v>
      </c>
    </row>
    <row r="59" spans="1:11" x14ac:dyDescent="0.25">
      <c r="A59" t="s">
        <v>5</v>
      </c>
    </row>
    <row r="60" spans="1:11" x14ac:dyDescent="0.25">
      <c r="C60" s="327">
        <f t="shared" ref="C60:I60" si="13">C7-C58</f>
        <v>8870732</v>
      </c>
      <c r="D60" s="327">
        <f t="shared" si="13"/>
        <v>959180</v>
      </c>
      <c r="E60" s="327">
        <f t="shared" si="13"/>
        <v>0</v>
      </c>
      <c r="F60" s="327">
        <f t="shared" si="13"/>
        <v>1400000</v>
      </c>
      <c r="G60" s="327">
        <f t="shared" si="13"/>
        <v>2150000</v>
      </c>
      <c r="H60" s="327">
        <f t="shared" si="13"/>
        <v>0</v>
      </c>
      <c r="I60" s="327">
        <f t="shared" si="13"/>
        <v>0</v>
      </c>
      <c r="J60" s="327"/>
      <c r="K60" s="327">
        <f>K7-K58</f>
        <v>13379912</v>
      </c>
    </row>
    <row r="61" spans="1:11" x14ac:dyDescent="0.25">
      <c r="A61" t="s">
        <v>9</v>
      </c>
      <c r="E61" t="s">
        <v>50</v>
      </c>
      <c r="I61" t="s">
        <v>45</v>
      </c>
    </row>
    <row r="62" spans="1:11" x14ac:dyDescent="0.25">
      <c r="A62" t="s">
        <v>44</v>
      </c>
    </row>
    <row r="63" spans="1:11" x14ac:dyDescent="0.25">
      <c r="E63" t="s">
        <v>13</v>
      </c>
      <c r="F63" s="13">
        <v>6031</v>
      </c>
      <c r="I63" t="s">
        <v>75</v>
      </c>
    </row>
    <row r="64" spans="1:11" x14ac:dyDescent="0.25">
      <c r="E64" t="s">
        <v>6</v>
      </c>
      <c r="F64" s="13" t="s">
        <v>7</v>
      </c>
    </row>
    <row r="65" spans="1:11" ht="15.75" thickBot="1" x14ac:dyDescent="0.3"/>
    <row r="66" spans="1:11" ht="30.75" thickBot="1" x14ac:dyDescent="0.3">
      <c r="A66" s="75" t="s">
        <v>42</v>
      </c>
      <c r="B66" s="165"/>
      <c r="C66" s="45">
        <v>1</v>
      </c>
      <c r="D66" s="45">
        <v>2</v>
      </c>
      <c r="E66" s="45">
        <v>3</v>
      </c>
      <c r="F66" s="45">
        <v>4</v>
      </c>
      <c r="G66" s="45">
        <v>5</v>
      </c>
      <c r="H66" s="45">
        <v>6</v>
      </c>
      <c r="I66" s="45">
        <v>7</v>
      </c>
      <c r="J66" s="51" t="s">
        <v>16</v>
      </c>
      <c r="K66" s="139" t="s">
        <v>17</v>
      </c>
    </row>
    <row r="67" spans="1:11" x14ac:dyDescent="0.25">
      <c r="A67" s="76" t="s">
        <v>43</v>
      </c>
      <c r="B67" s="166"/>
      <c r="C67" s="35">
        <f t="shared" ref="C67:K67" si="14">C58</f>
        <v>2793268</v>
      </c>
      <c r="D67" s="35">
        <f t="shared" si="14"/>
        <v>302820</v>
      </c>
      <c r="E67" s="35">
        <f t="shared" si="14"/>
        <v>0</v>
      </c>
      <c r="F67" s="35">
        <f t="shared" si="14"/>
        <v>0</v>
      </c>
      <c r="G67" s="35">
        <f t="shared" si="14"/>
        <v>0</v>
      </c>
      <c r="H67" s="35">
        <f t="shared" si="14"/>
        <v>0</v>
      </c>
      <c r="I67" s="35">
        <f t="shared" si="14"/>
        <v>0</v>
      </c>
      <c r="J67" s="35">
        <f t="shared" si="14"/>
        <v>90708</v>
      </c>
      <c r="K67" s="35">
        <f t="shared" si="14"/>
        <v>3096088</v>
      </c>
    </row>
    <row r="68" spans="1:11" x14ac:dyDescent="0.25">
      <c r="A68" s="62" t="s">
        <v>340</v>
      </c>
      <c r="B68" s="197"/>
      <c r="C68" s="8">
        <v>90708</v>
      </c>
      <c r="D68" s="8"/>
      <c r="E68" s="176"/>
      <c r="F68" s="176"/>
      <c r="G68" s="176"/>
      <c r="H68" s="8"/>
      <c r="I68" s="8"/>
      <c r="J68" s="8">
        <f>SUM(C68:I68)</f>
        <v>90708</v>
      </c>
      <c r="K68" s="9">
        <f>+K67+J68</f>
        <v>3186796</v>
      </c>
    </row>
    <row r="69" spans="1:11" x14ac:dyDescent="0.25">
      <c r="A69" s="226" t="s">
        <v>341</v>
      </c>
      <c r="B69" s="219"/>
      <c r="C69" s="78">
        <v>90708</v>
      </c>
      <c r="D69" s="78"/>
      <c r="E69" s="221"/>
      <c r="F69" s="221"/>
      <c r="G69" s="221"/>
      <c r="H69" s="78"/>
      <c r="I69" s="78"/>
      <c r="J69" s="8">
        <f t="shared" ref="J69:J76" si="15">SUM(C69:I69)</f>
        <v>90708</v>
      </c>
      <c r="K69" s="9">
        <f t="shared" ref="K69:K76" si="16">+K68+J69</f>
        <v>3277504</v>
      </c>
    </row>
    <row r="70" spans="1:11" x14ac:dyDescent="0.25">
      <c r="A70" s="62" t="s">
        <v>342</v>
      </c>
      <c r="B70" s="167"/>
      <c r="C70" s="8">
        <v>90708</v>
      </c>
      <c r="D70" s="8"/>
      <c r="E70" s="8"/>
      <c r="F70" s="8"/>
      <c r="G70" s="8"/>
      <c r="H70" s="8"/>
      <c r="I70" s="163"/>
      <c r="J70" s="8">
        <f t="shared" si="15"/>
        <v>90708</v>
      </c>
      <c r="K70" s="9">
        <f t="shared" si="16"/>
        <v>3368212</v>
      </c>
    </row>
    <row r="71" spans="1:11" x14ac:dyDescent="0.25">
      <c r="A71" s="79" t="s">
        <v>343</v>
      </c>
      <c r="B71" s="190"/>
      <c r="C71" s="80">
        <v>90708</v>
      </c>
      <c r="D71" s="80"/>
      <c r="E71" s="80"/>
      <c r="F71" s="80"/>
      <c r="G71" s="80"/>
      <c r="H71" s="80"/>
      <c r="I71" s="80"/>
      <c r="J71" s="8">
        <f t="shared" si="15"/>
        <v>90708</v>
      </c>
      <c r="K71" s="9">
        <f t="shared" si="16"/>
        <v>3458920</v>
      </c>
    </row>
    <row r="72" spans="1:11" x14ac:dyDescent="0.25">
      <c r="A72" s="62" t="s">
        <v>344</v>
      </c>
      <c r="B72" s="167"/>
      <c r="C72" s="217">
        <v>90708</v>
      </c>
      <c r="D72" s="217"/>
      <c r="E72" s="321"/>
      <c r="F72" s="176"/>
      <c r="G72" s="176"/>
      <c r="H72" s="176"/>
      <c r="I72" s="176"/>
      <c r="J72" s="8">
        <f t="shared" si="15"/>
        <v>90708</v>
      </c>
      <c r="K72" s="9">
        <f t="shared" si="16"/>
        <v>3549628</v>
      </c>
    </row>
    <row r="73" spans="1:11" x14ac:dyDescent="0.25">
      <c r="A73" s="145" t="s">
        <v>345</v>
      </c>
      <c r="B73" s="207"/>
      <c r="C73" s="81">
        <v>90708</v>
      </c>
      <c r="D73" s="81"/>
      <c r="E73" s="81"/>
      <c r="F73" s="81"/>
      <c r="G73" s="81"/>
      <c r="H73" s="81"/>
      <c r="I73" s="81"/>
      <c r="J73" s="8">
        <f t="shared" si="15"/>
        <v>90708</v>
      </c>
      <c r="K73" s="9">
        <f t="shared" si="16"/>
        <v>3640336</v>
      </c>
    </row>
    <row r="74" spans="1:11" x14ac:dyDescent="0.25">
      <c r="A74" s="62" t="s">
        <v>354</v>
      </c>
      <c r="B74" s="167"/>
      <c r="C74" s="297">
        <v>7819</v>
      </c>
      <c r="D74" s="217"/>
      <c r="E74" s="217"/>
      <c r="F74" s="217"/>
      <c r="G74" s="217"/>
      <c r="H74" s="217"/>
      <c r="I74" s="217"/>
      <c r="J74" s="8">
        <f t="shared" si="15"/>
        <v>7819</v>
      </c>
      <c r="K74" s="9">
        <f t="shared" si="16"/>
        <v>3648155</v>
      </c>
    </row>
    <row r="75" spans="1:11" x14ac:dyDescent="0.25">
      <c r="A75" s="62" t="s">
        <v>360</v>
      </c>
      <c r="B75" s="197"/>
      <c r="C75" s="8">
        <v>32865</v>
      </c>
      <c r="D75" s="8"/>
      <c r="E75" s="176"/>
      <c r="F75" s="176"/>
      <c r="G75" s="176"/>
      <c r="H75" s="176"/>
      <c r="I75" s="176"/>
      <c r="J75" s="8">
        <f t="shared" si="15"/>
        <v>32865</v>
      </c>
      <c r="K75" s="9">
        <f t="shared" si="16"/>
        <v>3681020</v>
      </c>
    </row>
    <row r="76" spans="1:11" ht="15.75" thickBot="1" x14ac:dyDescent="0.3">
      <c r="A76" s="213" t="s">
        <v>366</v>
      </c>
      <c r="B76" s="299"/>
      <c r="C76" s="214"/>
      <c r="D76" s="214">
        <v>75705</v>
      </c>
      <c r="E76" s="248"/>
      <c r="F76" s="248"/>
      <c r="G76" s="248"/>
      <c r="H76" s="248"/>
      <c r="I76" s="248"/>
      <c r="J76" s="10">
        <f t="shared" si="15"/>
        <v>75705</v>
      </c>
      <c r="K76" s="11">
        <f t="shared" si="16"/>
        <v>3756725</v>
      </c>
    </row>
    <row r="77" spans="1:11" x14ac:dyDescent="0.25">
      <c r="A77" s="488" t="s">
        <v>60</v>
      </c>
      <c r="B77" s="230"/>
      <c r="C77" s="231">
        <f>SUM(C67:C76)</f>
        <v>3378200</v>
      </c>
      <c r="D77" s="231">
        <f t="shared" ref="D77:I77" si="17">SUM(D67:D76)</f>
        <v>378525</v>
      </c>
      <c r="E77" s="246">
        <f t="shared" si="17"/>
        <v>0</v>
      </c>
      <c r="F77" s="231">
        <f t="shared" si="17"/>
        <v>0</v>
      </c>
      <c r="G77" s="231">
        <f t="shared" si="17"/>
        <v>0</v>
      </c>
      <c r="H77" s="231">
        <f t="shared" si="17"/>
        <v>0</v>
      </c>
      <c r="I77" s="246">
        <f t="shared" si="17"/>
        <v>0</v>
      </c>
      <c r="J77" s="231">
        <f>SUM(J67:J76)</f>
        <v>751345</v>
      </c>
      <c r="K77" s="231">
        <f>+K76</f>
        <v>3756725</v>
      </c>
    </row>
    <row r="78" spans="1:11" x14ac:dyDescent="0.25">
      <c r="A78" s="340" t="s">
        <v>403</v>
      </c>
      <c r="B78" s="191"/>
      <c r="C78" s="81">
        <v>90708</v>
      </c>
      <c r="D78" s="81"/>
      <c r="E78" s="81"/>
      <c r="F78" s="81"/>
      <c r="G78" s="81"/>
      <c r="H78" s="81"/>
      <c r="I78" s="81"/>
      <c r="J78" s="81">
        <f>SUM(C78:I78)</f>
        <v>90708</v>
      </c>
      <c r="K78" s="100">
        <f>+K77+J78</f>
        <v>3847433</v>
      </c>
    </row>
    <row r="79" spans="1:11" x14ac:dyDescent="0.25">
      <c r="A79" s="256" t="s">
        <v>404</v>
      </c>
      <c r="B79" s="257"/>
      <c r="C79" s="258">
        <v>90708</v>
      </c>
      <c r="D79" s="258"/>
      <c r="E79" s="258"/>
      <c r="F79" s="258"/>
      <c r="G79" s="258"/>
      <c r="H79" s="258"/>
      <c r="I79" s="258"/>
      <c r="J79" s="81">
        <f t="shared" ref="J79:J87" si="18">SUM(C79:I79)</f>
        <v>90708</v>
      </c>
      <c r="K79" s="100">
        <f t="shared" ref="K79:K87" si="19">+K78+J79</f>
        <v>3938141</v>
      </c>
    </row>
    <row r="80" spans="1:11" x14ac:dyDescent="0.25">
      <c r="A80" s="200" t="s">
        <v>405</v>
      </c>
      <c r="B80" s="167"/>
      <c r="C80" s="8">
        <v>90708</v>
      </c>
      <c r="D80" s="8"/>
      <c r="E80" s="8"/>
      <c r="F80" s="8"/>
      <c r="G80" s="8"/>
      <c r="H80" s="8"/>
      <c r="I80" s="8"/>
      <c r="J80" s="81">
        <f t="shared" si="18"/>
        <v>90708</v>
      </c>
      <c r="K80" s="100">
        <f t="shared" si="19"/>
        <v>4028849</v>
      </c>
    </row>
    <row r="81" spans="1:11" x14ac:dyDescent="0.25">
      <c r="A81" s="62" t="s">
        <v>406</v>
      </c>
      <c r="B81" s="167"/>
      <c r="C81" s="8">
        <v>90708</v>
      </c>
      <c r="D81" s="8"/>
      <c r="E81" s="8"/>
      <c r="F81" s="8"/>
      <c r="G81" s="8"/>
      <c r="H81" s="8"/>
      <c r="I81" s="8"/>
      <c r="J81" s="81">
        <f t="shared" si="18"/>
        <v>90708</v>
      </c>
      <c r="K81" s="100">
        <f t="shared" si="19"/>
        <v>4119557</v>
      </c>
    </row>
    <row r="82" spans="1:11" x14ac:dyDescent="0.25">
      <c r="A82" s="79" t="s">
        <v>407</v>
      </c>
      <c r="B82" s="265"/>
      <c r="C82" s="80">
        <v>90708</v>
      </c>
      <c r="D82" s="80"/>
      <c r="E82" s="80"/>
      <c r="F82" s="80"/>
      <c r="G82" s="80"/>
      <c r="H82" s="80"/>
      <c r="I82" s="80"/>
      <c r="J82" s="81">
        <f t="shared" si="18"/>
        <v>90708</v>
      </c>
      <c r="K82" s="100">
        <f t="shared" si="19"/>
        <v>4210265</v>
      </c>
    </row>
    <row r="83" spans="1:11" x14ac:dyDescent="0.25">
      <c r="A83" s="62" t="s">
        <v>408</v>
      </c>
      <c r="B83" s="167"/>
      <c r="C83" s="8">
        <v>90708</v>
      </c>
      <c r="D83" s="8"/>
      <c r="E83" s="8"/>
      <c r="F83" s="8"/>
      <c r="G83" s="8"/>
      <c r="H83" s="8"/>
      <c r="I83" s="8"/>
      <c r="J83" s="81">
        <f t="shared" si="18"/>
        <v>90708</v>
      </c>
      <c r="K83" s="100">
        <f t="shared" si="19"/>
        <v>4300973</v>
      </c>
    </row>
    <row r="84" spans="1:11" x14ac:dyDescent="0.25">
      <c r="A84" s="145" t="s">
        <v>409</v>
      </c>
      <c r="B84" s="190"/>
      <c r="C84" s="80">
        <v>90708</v>
      </c>
      <c r="D84" s="80"/>
      <c r="E84" s="80"/>
      <c r="F84" s="81"/>
      <c r="G84" s="80"/>
      <c r="H84" s="80"/>
      <c r="I84" s="80"/>
      <c r="J84" s="81">
        <f t="shared" si="18"/>
        <v>90708</v>
      </c>
      <c r="K84" s="100">
        <f t="shared" si="19"/>
        <v>4391681</v>
      </c>
    </row>
    <row r="85" spans="1:11" x14ac:dyDescent="0.25">
      <c r="A85" s="200" t="s">
        <v>422</v>
      </c>
      <c r="B85" s="200"/>
      <c r="C85" s="8">
        <v>7819</v>
      </c>
      <c r="D85" s="8"/>
      <c r="E85" s="8"/>
      <c r="F85" s="8"/>
      <c r="G85" s="8"/>
      <c r="H85" s="8"/>
      <c r="I85" s="8"/>
      <c r="J85" s="81">
        <f t="shared" si="18"/>
        <v>7819</v>
      </c>
      <c r="K85" s="100">
        <f t="shared" si="19"/>
        <v>4399500</v>
      </c>
    </row>
    <row r="86" spans="1:11" x14ac:dyDescent="0.25">
      <c r="A86" s="200" t="s">
        <v>428</v>
      </c>
      <c r="B86" s="200"/>
      <c r="C86" s="8">
        <v>32865</v>
      </c>
      <c r="D86" s="8"/>
      <c r="E86" s="8"/>
      <c r="F86" s="8"/>
      <c r="G86" s="8"/>
      <c r="H86" s="8"/>
      <c r="I86" s="8"/>
      <c r="J86" s="81">
        <f t="shared" si="18"/>
        <v>32865</v>
      </c>
      <c r="K86" s="100">
        <f t="shared" si="19"/>
        <v>4432365</v>
      </c>
    </row>
    <row r="87" spans="1:11" ht="15.75" thickBot="1" x14ac:dyDescent="0.3">
      <c r="A87" s="200" t="s">
        <v>434</v>
      </c>
      <c r="B87" s="200"/>
      <c r="C87" s="8"/>
      <c r="D87" s="8">
        <v>75705</v>
      </c>
      <c r="E87" s="8"/>
      <c r="F87" s="8"/>
      <c r="G87" s="8"/>
      <c r="H87" s="8"/>
      <c r="I87" s="8"/>
      <c r="J87" s="81">
        <f t="shared" si="18"/>
        <v>75705</v>
      </c>
      <c r="K87" s="100">
        <f t="shared" si="19"/>
        <v>4508070</v>
      </c>
    </row>
    <row r="88" spans="1:11" ht="15.75" thickBot="1" x14ac:dyDescent="0.3">
      <c r="A88" s="164" t="s">
        <v>61</v>
      </c>
      <c r="B88" s="172" t="s">
        <v>64</v>
      </c>
      <c r="C88" s="83">
        <f>SUM(C77:C87)</f>
        <v>4053840</v>
      </c>
      <c r="D88" s="83">
        <f t="shared" ref="D88:I88" si="20">SUM(D77:D87)</f>
        <v>454230</v>
      </c>
      <c r="E88" s="83">
        <f t="shared" si="20"/>
        <v>0</v>
      </c>
      <c r="F88" s="83">
        <f t="shared" si="20"/>
        <v>0</v>
      </c>
      <c r="G88" s="83">
        <f t="shared" si="20"/>
        <v>0</v>
      </c>
      <c r="H88" s="83">
        <f t="shared" si="20"/>
        <v>0</v>
      </c>
      <c r="I88" s="83">
        <f t="shared" si="20"/>
        <v>0</v>
      </c>
      <c r="J88" s="83">
        <f>SUM(J78:J87)</f>
        <v>751345</v>
      </c>
      <c r="K88" s="149">
        <f>+K87</f>
        <v>4508070</v>
      </c>
    </row>
    <row r="89" spans="1:11" x14ac:dyDescent="0.25">
      <c r="A89" t="s">
        <v>5</v>
      </c>
    </row>
    <row r="90" spans="1:11" x14ac:dyDescent="0.25">
      <c r="A90" s="328" t="s">
        <v>67</v>
      </c>
      <c r="B90" s="328"/>
      <c r="C90" s="329">
        <f t="shared" ref="C90:I90" si="21">C11-C88</f>
        <v>7610160</v>
      </c>
      <c r="D90" s="329">
        <f t="shared" si="21"/>
        <v>807770</v>
      </c>
      <c r="E90" s="329">
        <f t="shared" si="21"/>
        <v>0</v>
      </c>
      <c r="F90" s="329">
        <f t="shared" si="21"/>
        <v>1400000</v>
      </c>
      <c r="G90" s="329">
        <f t="shared" si="21"/>
        <v>2150000</v>
      </c>
      <c r="H90" s="329">
        <f t="shared" si="21"/>
        <v>0</v>
      </c>
      <c r="I90" s="329">
        <f t="shared" si="21"/>
        <v>0</v>
      </c>
      <c r="J90" s="329"/>
      <c r="K90" s="329">
        <f>+K11-K88</f>
        <v>11967930</v>
      </c>
    </row>
    <row r="91" spans="1:11" x14ac:dyDescent="0.25">
      <c r="A91" s="486"/>
      <c r="B91" s="486"/>
      <c r="C91" s="487"/>
      <c r="D91" s="487"/>
      <c r="E91" s="487"/>
      <c r="F91" s="487"/>
      <c r="G91" s="487"/>
      <c r="H91" s="487"/>
      <c r="I91" s="487"/>
      <c r="J91" s="487"/>
      <c r="K91" s="487"/>
    </row>
    <row r="92" spans="1:11" x14ac:dyDescent="0.25">
      <c r="A92" s="486"/>
      <c r="B92" s="486"/>
      <c r="C92" s="487"/>
      <c r="D92" s="487"/>
      <c r="E92" s="487"/>
      <c r="F92" s="487"/>
      <c r="G92" s="487"/>
      <c r="H92" s="487"/>
      <c r="I92" s="487"/>
      <c r="J92" s="487"/>
      <c r="K92" s="487"/>
    </row>
    <row r="93" spans="1:11" x14ac:dyDescent="0.25">
      <c r="A93" t="s">
        <v>9</v>
      </c>
      <c r="E93" t="s">
        <v>50</v>
      </c>
      <c r="I93" t="s">
        <v>45</v>
      </c>
    </row>
    <row r="94" spans="1:11" x14ac:dyDescent="0.25">
      <c r="A94" t="s">
        <v>44</v>
      </c>
    </row>
    <row r="95" spans="1:11" x14ac:dyDescent="0.25">
      <c r="E95" t="s">
        <v>13</v>
      </c>
      <c r="F95" s="13">
        <v>6031</v>
      </c>
      <c r="I95" t="s">
        <v>75</v>
      </c>
    </row>
    <row r="96" spans="1:11" x14ac:dyDescent="0.25">
      <c r="E96" t="s">
        <v>6</v>
      </c>
      <c r="F96" s="13" t="s">
        <v>7</v>
      </c>
    </row>
    <row r="97" spans="1:11" ht="15.75" thickBot="1" x14ac:dyDescent="0.3"/>
    <row r="98" spans="1:11" ht="30.75" thickBot="1" x14ac:dyDescent="0.3">
      <c r="A98" s="75" t="s">
        <v>42</v>
      </c>
      <c r="B98" s="165"/>
      <c r="C98" s="45">
        <v>1</v>
      </c>
      <c r="D98" s="45">
        <v>2</v>
      </c>
      <c r="E98" s="45">
        <v>3</v>
      </c>
      <c r="F98" s="45">
        <v>4</v>
      </c>
      <c r="G98" s="45">
        <v>5</v>
      </c>
      <c r="H98" s="45">
        <v>6</v>
      </c>
      <c r="I98" s="45">
        <v>7</v>
      </c>
      <c r="J98" s="51" t="s">
        <v>16</v>
      </c>
      <c r="K98" s="139" t="s">
        <v>17</v>
      </c>
    </row>
    <row r="99" spans="1:11" x14ac:dyDescent="0.25">
      <c r="A99" s="76" t="s">
        <v>43</v>
      </c>
      <c r="B99" s="166"/>
      <c r="C99" s="35">
        <f t="shared" ref="C99:K99" si="22">C88</f>
        <v>4053840</v>
      </c>
      <c r="D99" s="35">
        <f t="shared" si="22"/>
        <v>454230</v>
      </c>
      <c r="E99" s="35">
        <f t="shared" si="22"/>
        <v>0</v>
      </c>
      <c r="F99" s="35">
        <f t="shared" si="22"/>
        <v>0</v>
      </c>
      <c r="G99" s="35">
        <f t="shared" si="22"/>
        <v>0</v>
      </c>
      <c r="H99" s="35">
        <f t="shared" si="22"/>
        <v>0</v>
      </c>
      <c r="I99" s="35">
        <f t="shared" si="22"/>
        <v>0</v>
      </c>
      <c r="J99" s="35">
        <f t="shared" si="22"/>
        <v>751345</v>
      </c>
      <c r="K99" s="35">
        <f t="shared" si="22"/>
        <v>4508070</v>
      </c>
    </row>
    <row r="100" spans="1:11" x14ac:dyDescent="0.25">
      <c r="A100" s="200" t="s">
        <v>470</v>
      </c>
      <c r="B100" s="200"/>
      <c r="C100" s="8">
        <v>90708</v>
      </c>
      <c r="D100" s="80"/>
      <c r="E100" s="80"/>
      <c r="F100" s="80"/>
      <c r="G100" s="80"/>
      <c r="H100" s="80"/>
      <c r="I100" s="80"/>
      <c r="J100" s="81">
        <f>SUM(C100:I100)</f>
        <v>90708</v>
      </c>
      <c r="K100" s="500">
        <f>+K99+J100</f>
        <v>4598778</v>
      </c>
    </row>
    <row r="101" spans="1:11" x14ac:dyDescent="0.25">
      <c r="A101" s="62" t="s">
        <v>471</v>
      </c>
      <c r="B101" s="197"/>
      <c r="C101" s="8">
        <v>90708</v>
      </c>
      <c r="D101" s="8"/>
      <c r="E101" s="176"/>
      <c r="F101" s="176"/>
      <c r="G101" s="176"/>
      <c r="H101" s="8"/>
      <c r="I101" s="8"/>
      <c r="J101" s="8">
        <f t="shared" ref="J101:J109" si="23">SUM(C101:I101)</f>
        <v>90708</v>
      </c>
      <c r="K101" s="500">
        <f t="shared" ref="K101:K109" si="24">+K100+J101</f>
        <v>4689486</v>
      </c>
    </row>
    <row r="102" spans="1:11" x14ac:dyDescent="0.25">
      <c r="A102" s="226" t="s">
        <v>472</v>
      </c>
      <c r="B102" s="219"/>
      <c r="C102" s="78">
        <v>90708</v>
      </c>
      <c r="D102" s="78"/>
      <c r="E102" s="221"/>
      <c r="F102" s="221"/>
      <c r="G102" s="221"/>
      <c r="H102" s="78"/>
      <c r="I102" s="78"/>
      <c r="J102" s="8">
        <f t="shared" si="23"/>
        <v>90708</v>
      </c>
      <c r="K102" s="500">
        <f t="shared" si="24"/>
        <v>4780194</v>
      </c>
    </row>
    <row r="103" spans="1:11" x14ac:dyDescent="0.25">
      <c r="A103" s="200" t="s">
        <v>473</v>
      </c>
      <c r="B103" s="200"/>
      <c r="C103" s="8">
        <v>90708</v>
      </c>
      <c r="D103" s="8"/>
      <c r="E103" s="8"/>
      <c r="F103" s="8"/>
      <c r="G103" s="8"/>
      <c r="H103" s="8"/>
      <c r="I103" s="163"/>
      <c r="J103" s="8">
        <f t="shared" si="23"/>
        <v>90708</v>
      </c>
      <c r="K103" s="500">
        <f t="shared" si="24"/>
        <v>4870902</v>
      </c>
    </row>
    <row r="104" spans="1:11" x14ac:dyDescent="0.25">
      <c r="A104" s="226" t="s">
        <v>474</v>
      </c>
      <c r="B104" s="255"/>
      <c r="C104" s="78">
        <v>90708</v>
      </c>
      <c r="D104" s="78"/>
      <c r="E104" s="78"/>
      <c r="F104" s="78"/>
      <c r="G104" s="78"/>
      <c r="H104" s="78"/>
      <c r="I104" s="375"/>
      <c r="J104" s="64">
        <f t="shared" si="23"/>
        <v>90708</v>
      </c>
      <c r="K104" s="500">
        <f t="shared" si="24"/>
        <v>4961610</v>
      </c>
    </row>
    <row r="105" spans="1:11" x14ac:dyDescent="0.25">
      <c r="A105" s="200" t="s">
        <v>475</v>
      </c>
      <c r="B105" s="200"/>
      <c r="C105" s="217">
        <v>90708</v>
      </c>
      <c r="D105" s="217"/>
      <c r="E105" s="321"/>
      <c r="F105" s="176"/>
      <c r="G105" s="176"/>
      <c r="H105" s="176"/>
      <c r="I105" s="176"/>
      <c r="J105" s="64">
        <f t="shared" si="23"/>
        <v>90708</v>
      </c>
      <c r="K105" s="500">
        <f t="shared" si="24"/>
        <v>5052318</v>
      </c>
    </row>
    <row r="106" spans="1:11" x14ac:dyDescent="0.25">
      <c r="A106" s="145" t="s">
        <v>476</v>
      </c>
      <c r="B106" s="207"/>
      <c r="C106" s="81">
        <v>90708</v>
      </c>
      <c r="D106" s="81"/>
      <c r="E106" s="81"/>
      <c r="F106" s="81"/>
      <c r="G106" s="81"/>
      <c r="H106" s="81"/>
      <c r="I106" s="81"/>
      <c r="J106" s="81">
        <f t="shared" si="23"/>
        <v>90708</v>
      </c>
      <c r="K106" s="500">
        <f t="shared" si="24"/>
        <v>5143026</v>
      </c>
    </row>
    <row r="107" spans="1:11" x14ac:dyDescent="0.25">
      <c r="A107" s="62" t="s">
        <v>487</v>
      </c>
      <c r="B107" s="167"/>
      <c r="C107" s="297">
        <v>7819</v>
      </c>
      <c r="D107" s="217"/>
      <c r="E107" s="217"/>
      <c r="F107" s="217"/>
      <c r="G107" s="217"/>
      <c r="H107" s="217"/>
      <c r="I107" s="217"/>
      <c r="J107" s="499">
        <f t="shared" si="23"/>
        <v>7819</v>
      </c>
      <c r="K107" s="500">
        <f t="shared" si="24"/>
        <v>5150845</v>
      </c>
    </row>
    <row r="108" spans="1:11" x14ac:dyDescent="0.25">
      <c r="A108" s="200" t="s">
        <v>493</v>
      </c>
      <c r="B108" s="200"/>
      <c r="C108" s="8">
        <v>32865</v>
      </c>
      <c r="D108" s="8"/>
      <c r="E108" s="8"/>
      <c r="F108" s="8"/>
      <c r="G108" s="8"/>
      <c r="H108" s="8"/>
      <c r="I108" s="8"/>
      <c r="J108" s="499">
        <f t="shared" si="23"/>
        <v>32865</v>
      </c>
      <c r="K108" s="500">
        <f t="shared" si="24"/>
        <v>5183710</v>
      </c>
    </row>
    <row r="109" spans="1:11" ht="15.75" thickBot="1" x14ac:dyDescent="0.3">
      <c r="A109" s="292" t="s">
        <v>499</v>
      </c>
      <c r="B109" s="292"/>
      <c r="C109" s="10"/>
      <c r="D109" s="10">
        <v>75705</v>
      </c>
      <c r="E109" s="10"/>
      <c r="F109" s="10"/>
      <c r="G109" s="10"/>
      <c r="H109" s="10"/>
      <c r="I109" s="10"/>
      <c r="J109" s="502">
        <f t="shared" si="23"/>
        <v>75705</v>
      </c>
      <c r="K109" s="503">
        <f t="shared" si="24"/>
        <v>5259415</v>
      </c>
    </row>
    <row r="110" spans="1:11" x14ac:dyDescent="0.25">
      <c r="A110" s="265" t="s">
        <v>65</v>
      </c>
      <c r="B110" s="265"/>
      <c r="C110" s="80">
        <f>SUM(C99:C109)</f>
        <v>4729480</v>
      </c>
      <c r="D110" s="80">
        <f t="shared" ref="D110:I110" si="25">SUM(D99:D109)</f>
        <v>529935</v>
      </c>
      <c r="E110" s="80">
        <f t="shared" si="25"/>
        <v>0</v>
      </c>
      <c r="F110" s="80">
        <f t="shared" si="25"/>
        <v>0</v>
      </c>
      <c r="G110" s="80">
        <f t="shared" si="25"/>
        <v>0</v>
      </c>
      <c r="H110" s="80">
        <f t="shared" si="25"/>
        <v>0</v>
      </c>
      <c r="I110" s="80">
        <f t="shared" si="25"/>
        <v>0</v>
      </c>
      <c r="J110" s="485">
        <f>SUM(J100:J109)</f>
        <v>751345</v>
      </c>
      <c r="K110" s="80">
        <f>+K109</f>
        <v>5259415</v>
      </c>
    </row>
    <row r="111" spans="1:11" x14ac:dyDescent="0.25">
      <c r="A111" s="200" t="s">
        <v>589</v>
      </c>
      <c r="B111" s="200"/>
      <c r="C111" s="8">
        <v>634956</v>
      </c>
      <c r="D111" s="8"/>
      <c r="E111" s="8"/>
      <c r="F111" s="8"/>
      <c r="G111" s="8"/>
      <c r="H111" s="8"/>
      <c r="I111" s="8"/>
      <c r="J111" s="500">
        <f>SUM(C111:I111)</f>
        <v>634956</v>
      </c>
      <c r="K111" s="8">
        <f>+K110+J111</f>
        <v>5894371</v>
      </c>
    </row>
    <row r="112" spans="1:11" x14ac:dyDescent="0.25">
      <c r="A112" s="501" t="s">
        <v>590</v>
      </c>
      <c r="B112" s="170"/>
      <c r="C112" s="64">
        <v>7819</v>
      </c>
      <c r="D112" s="64"/>
      <c r="E112" s="64"/>
      <c r="F112" s="64"/>
      <c r="G112" s="64"/>
      <c r="H112" s="64"/>
      <c r="I112" s="64"/>
      <c r="J112" s="500">
        <f t="shared" ref="J112:J120" si="26">SUM(C112:I112)</f>
        <v>7819</v>
      </c>
      <c r="K112" s="8">
        <f t="shared" ref="K112:K119" si="27">+K111+J112</f>
        <v>5902190</v>
      </c>
    </row>
    <row r="113" spans="1:11" x14ac:dyDescent="0.25">
      <c r="A113" s="200" t="s">
        <v>591</v>
      </c>
      <c r="B113" s="436"/>
      <c r="C113" s="8">
        <v>32865</v>
      </c>
      <c r="D113" s="16"/>
      <c r="E113" s="217"/>
      <c r="F113" s="16"/>
      <c r="G113" s="16"/>
      <c r="H113" s="16"/>
      <c r="I113" s="16"/>
      <c r="J113" s="500">
        <f t="shared" si="26"/>
        <v>32865</v>
      </c>
      <c r="K113" s="8">
        <f t="shared" si="27"/>
        <v>5935055</v>
      </c>
    </row>
    <row r="114" spans="1:11" ht="15.75" thickBot="1" x14ac:dyDescent="0.3">
      <c r="A114" s="73" t="s">
        <v>592</v>
      </c>
      <c r="B114" s="192"/>
      <c r="C114" s="10"/>
      <c r="D114" s="10">
        <v>75705</v>
      </c>
      <c r="E114" s="10"/>
      <c r="F114" s="10"/>
      <c r="G114" s="10"/>
      <c r="H114" s="10"/>
      <c r="I114" s="10"/>
      <c r="J114" s="10">
        <f t="shared" si="26"/>
        <v>75705</v>
      </c>
      <c r="K114" s="10">
        <f t="shared" si="27"/>
        <v>6010760</v>
      </c>
    </row>
    <row r="115" spans="1:11" x14ac:dyDescent="0.25">
      <c r="A115" s="79" t="s">
        <v>66</v>
      </c>
      <c r="B115" s="190"/>
      <c r="C115" s="35">
        <f>SUM(C110:C114)</f>
        <v>5405120</v>
      </c>
      <c r="D115" s="80">
        <f t="shared" ref="D115:I115" si="28">SUM(D110:D114)</f>
        <v>605640</v>
      </c>
      <c r="E115" s="80">
        <f t="shared" si="28"/>
        <v>0</v>
      </c>
      <c r="F115" s="80">
        <f t="shared" si="28"/>
        <v>0</v>
      </c>
      <c r="G115" s="80">
        <f t="shared" si="28"/>
        <v>0</v>
      </c>
      <c r="H115" s="80">
        <f t="shared" si="28"/>
        <v>0</v>
      </c>
      <c r="I115" s="80">
        <f t="shared" si="28"/>
        <v>0</v>
      </c>
      <c r="J115" s="80">
        <f>SUM(J111:J114)</f>
        <v>751345</v>
      </c>
      <c r="K115" s="80">
        <f>+K114</f>
        <v>6010760</v>
      </c>
    </row>
    <row r="116" spans="1:11" x14ac:dyDescent="0.25">
      <c r="A116" s="200" t="s">
        <v>618</v>
      </c>
      <c r="B116" s="200"/>
      <c r="C116" s="8">
        <v>1283029</v>
      </c>
      <c r="D116" s="8"/>
      <c r="E116" s="8"/>
      <c r="F116" s="8"/>
      <c r="G116" s="8"/>
      <c r="H116" s="8"/>
      <c r="I116" s="8"/>
      <c r="J116" s="81">
        <f t="shared" si="26"/>
        <v>1283029</v>
      </c>
      <c r="K116" s="8">
        <f t="shared" si="27"/>
        <v>7293789</v>
      </c>
    </row>
    <row r="117" spans="1:11" x14ac:dyDescent="0.25">
      <c r="A117" s="200" t="s">
        <v>637</v>
      </c>
      <c r="B117" s="200"/>
      <c r="C117" s="8">
        <v>20865</v>
      </c>
      <c r="D117" s="8"/>
      <c r="E117" s="8"/>
      <c r="F117" s="8"/>
      <c r="G117" s="8"/>
      <c r="H117" s="8"/>
      <c r="I117" s="8"/>
      <c r="J117" s="81">
        <f t="shared" si="26"/>
        <v>20865</v>
      </c>
      <c r="K117" s="8">
        <f t="shared" si="27"/>
        <v>7314654</v>
      </c>
    </row>
    <row r="118" spans="1:11" x14ac:dyDescent="0.25">
      <c r="A118" s="200" t="s">
        <v>638</v>
      </c>
      <c r="B118" s="200"/>
      <c r="C118" s="8">
        <v>87666</v>
      </c>
      <c r="D118" s="8"/>
      <c r="E118" s="8"/>
      <c r="F118" s="8"/>
      <c r="G118" s="8"/>
      <c r="H118" s="8"/>
      <c r="I118" s="8"/>
      <c r="J118" s="81">
        <f t="shared" si="26"/>
        <v>87666</v>
      </c>
      <c r="K118" s="8">
        <f t="shared" si="27"/>
        <v>7402320</v>
      </c>
    </row>
    <row r="119" spans="1:11" x14ac:dyDescent="0.25">
      <c r="A119" s="200" t="s">
        <v>639</v>
      </c>
      <c r="B119" s="200"/>
      <c r="C119" s="8"/>
      <c r="D119" s="8">
        <v>214997</v>
      </c>
      <c r="E119" s="8"/>
      <c r="F119" s="8"/>
      <c r="G119" s="8"/>
      <c r="H119" s="8"/>
      <c r="I119" s="8"/>
      <c r="J119" s="81">
        <f t="shared" si="26"/>
        <v>214997</v>
      </c>
      <c r="K119" s="8">
        <f t="shared" si="27"/>
        <v>7617317</v>
      </c>
    </row>
    <row r="120" spans="1:11" ht="15.75" thickBot="1" x14ac:dyDescent="0.3">
      <c r="A120" s="200" t="s">
        <v>670</v>
      </c>
      <c r="B120" s="200"/>
      <c r="C120" s="8">
        <v>882524</v>
      </c>
      <c r="D120" s="8"/>
      <c r="E120" s="8"/>
      <c r="F120" s="8"/>
      <c r="G120" s="8"/>
      <c r="H120" s="8"/>
      <c r="I120" s="8"/>
      <c r="J120" s="81">
        <f t="shared" si="26"/>
        <v>882524</v>
      </c>
      <c r="K120" s="8">
        <f>+K116+J120</f>
        <v>8176313</v>
      </c>
    </row>
    <row r="121" spans="1:11" ht="15.75" thickBot="1" x14ac:dyDescent="0.3">
      <c r="A121" s="164" t="s">
        <v>61</v>
      </c>
      <c r="B121" s="172"/>
      <c r="C121" s="83">
        <f>SUM(C115:C120)</f>
        <v>7679204</v>
      </c>
      <c r="D121" s="83">
        <f t="shared" ref="D121:I121" si="29">SUM(D115:D120)</f>
        <v>820637</v>
      </c>
      <c r="E121" s="83">
        <f t="shared" si="29"/>
        <v>0</v>
      </c>
      <c r="F121" s="83">
        <f t="shared" si="29"/>
        <v>0</v>
      </c>
      <c r="G121" s="83">
        <f t="shared" si="29"/>
        <v>0</v>
      </c>
      <c r="H121" s="83">
        <f t="shared" si="29"/>
        <v>0</v>
      </c>
      <c r="I121" s="83">
        <f t="shared" si="29"/>
        <v>0</v>
      </c>
      <c r="J121" s="83">
        <f>SUM(J116:J120)</f>
        <v>2489081</v>
      </c>
      <c r="K121" s="149">
        <f>+SUM(C121:I121)</f>
        <v>8499841</v>
      </c>
    </row>
    <row r="122" spans="1:11" x14ac:dyDescent="0.25">
      <c r="A122" t="s">
        <v>5</v>
      </c>
    </row>
    <row r="124" spans="1:11" x14ac:dyDescent="0.25">
      <c r="A124" s="328" t="s">
        <v>67</v>
      </c>
      <c r="B124" s="328"/>
      <c r="C124" s="329">
        <f>+C11-C121</f>
        <v>3984796</v>
      </c>
      <c r="D124" s="329">
        <f t="shared" ref="D124:K124" si="30">+D11-D121</f>
        <v>441363</v>
      </c>
      <c r="E124" s="329">
        <f t="shared" si="30"/>
        <v>0</v>
      </c>
      <c r="F124" s="329">
        <f t="shared" si="30"/>
        <v>1400000</v>
      </c>
      <c r="G124" s="329">
        <f t="shared" si="30"/>
        <v>2150000</v>
      </c>
      <c r="H124" s="329">
        <f t="shared" si="30"/>
        <v>0</v>
      </c>
      <c r="I124" s="329">
        <f t="shared" si="30"/>
        <v>0</v>
      </c>
      <c r="J124" s="329"/>
      <c r="K124" s="329">
        <f t="shared" si="30"/>
        <v>7976159</v>
      </c>
    </row>
    <row r="125" spans="1:11" x14ac:dyDescent="0.25">
      <c r="A125" t="s">
        <v>9</v>
      </c>
      <c r="E125" t="s">
        <v>50</v>
      </c>
      <c r="I125" t="s">
        <v>45</v>
      </c>
    </row>
    <row r="126" spans="1:11" x14ac:dyDescent="0.25">
      <c r="A126" t="s">
        <v>44</v>
      </c>
    </row>
    <row r="127" spans="1:11" x14ac:dyDescent="0.25">
      <c r="E127" t="s">
        <v>13</v>
      </c>
      <c r="F127" s="13">
        <v>6031</v>
      </c>
      <c r="I127" t="s">
        <v>75</v>
      </c>
    </row>
    <row r="128" spans="1:11" x14ac:dyDescent="0.25">
      <c r="E128" t="s">
        <v>6</v>
      </c>
      <c r="F128" s="13" t="s">
        <v>7</v>
      </c>
    </row>
    <row r="129" spans="1:11" ht="15.75" thickBot="1" x14ac:dyDescent="0.3"/>
    <row r="130" spans="1:11" ht="30.75" thickBot="1" x14ac:dyDescent="0.3">
      <c r="A130" s="75" t="s">
        <v>42</v>
      </c>
      <c r="B130" s="165"/>
      <c r="C130" s="45">
        <v>1</v>
      </c>
      <c r="D130" s="45">
        <v>2</v>
      </c>
      <c r="E130" s="45">
        <v>3</v>
      </c>
      <c r="F130" s="45">
        <v>4</v>
      </c>
      <c r="G130" s="45">
        <v>5</v>
      </c>
      <c r="H130" s="45">
        <v>6</v>
      </c>
      <c r="I130" s="45">
        <v>7</v>
      </c>
      <c r="J130" s="51" t="s">
        <v>16</v>
      </c>
      <c r="K130" s="139" t="s">
        <v>17</v>
      </c>
    </row>
    <row r="131" spans="1:11" x14ac:dyDescent="0.25">
      <c r="A131" s="76" t="s">
        <v>43</v>
      </c>
      <c r="B131" s="166"/>
      <c r="C131" s="35">
        <f>+C121</f>
        <v>7679204</v>
      </c>
      <c r="D131" s="35">
        <f t="shared" ref="D131:K131" si="31">+D121</f>
        <v>820637</v>
      </c>
      <c r="E131" s="35">
        <f t="shared" si="31"/>
        <v>0</v>
      </c>
      <c r="F131" s="35">
        <f t="shared" si="31"/>
        <v>0</v>
      </c>
      <c r="G131" s="35">
        <f t="shared" si="31"/>
        <v>0</v>
      </c>
      <c r="H131" s="35">
        <f t="shared" si="31"/>
        <v>0</v>
      </c>
      <c r="I131" s="35">
        <f t="shared" si="31"/>
        <v>0</v>
      </c>
      <c r="J131" s="35">
        <f t="shared" si="31"/>
        <v>2489081</v>
      </c>
      <c r="K131" s="35">
        <f t="shared" si="31"/>
        <v>8499841</v>
      </c>
    </row>
    <row r="132" spans="1:11" x14ac:dyDescent="0.25">
      <c r="A132" s="200" t="s">
        <v>677</v>
      </c>
      <c r="B132" s="200"/>
      <c r="C132" s="8">
        <v>12268</v>
      </c>
      <c r="D132" s="80"/>
      <c r="E132" s="80"/>
      <c r="F132" s="80"/>
      <c r="G132" s="80"/>
      <c r="H132" s="80"/>
      <c r="I132" s="80"/>
      <c r="J132" s="81">
        <f>SUM(C132:I132)</f>
        <v>12268</v>
      </c>
      <c r="K132" s="500">
        <f>+K131+J132</f>
        <v>8512109</v>
      </c>
    </row>
    <row r="133" spans="1:11" x14ac:dyDescent="0.25">
      <c r="A133" s="62" t="s">
        <v>684</v>
      </c>
      <c r="B133" s="197"/>
      <c r="C133" s="8">
        <v>48238</v>
      </c>
      <c r="D133" s="8"/>
      <c r="E133" s="176"/>
      <c r="F133" s="176"/>
      <c r="G133" s="176"/>
      <c r="H133" s="8"/>
      <c r="I133" s="8"/>
      <c r="J133" s="8">
        <f t="shared" ref="J133:J142" si="32">SUM(C133:I133)</f>
        <v>48238</v>
      </c>
      <c r="K133" s="500">
        <f t="shared" ref="K133:K143" si="33">+K132+J133</f>
        <v>8560347</v>
      </c>
    </row>
    <row r="134" spans="1:11" x14ac:dyDescent="0.25">
      <c r="A134" s="226" t="s">
        <v>689</v>
      </c>
      <c r="B134" s="219"/>
      <c r="C134" s="78">
        <v>703652</v>
      </c>
      <c r="D134" s="78"/>
      <c r="E134" s="221"/>
      <c r="F134" s="221"/>
      <c r="G134" s="221"/>
      <c r="H134" s="78"/>
      <c r="I134" s="78"/>
      <c r="J134" s="8">
        <f t="shared" si="32"/>
        <v>703652</v>
      </c>
      <c r="K134" s="500">
        <f t="shared" si="33"/>
        <v>9263999</v>
      </c>
    </row>
    <row r="135" spans="1:11" x14ac:dyDescent="0.25">
      <c r="A135" s="200" t="s">
        <v>691</v>
      </c>
      <c r="B135" s="200"/>
      <c r="C135" s="8">
        <v>8580</v>
      </c>
      <c r="D135" s="8"/>
      <c r="E135" s="8"/>
      <c r="F135" s="8"/>
      <c r="G135" s="8"/>
      <c r="H135" s="8"/>
      <c r="I135" s="163"/>
      <c r="J135" s="8">
        <f t="shared" si="32"/>
        <v>8580</v>
      </c>
      <c r="K135" s="500">
        <f t="shared" si="33"/>
        <v>9272579</v>
      </c>
    </row>
    <row r="136" spans="1:11" x14ac:dyDescent="0.25">
      <c r="A136" s="226" t="s">
        <v>695</v>
      </c>
      <c r="B136" s="255"/>
      <c r="C136" s="78">
        <v>36054</v>
      </c>
      <c r="D136" s="78"/>
      <c r="E136" s="78"/>
      <c r="F136" s="78"/>
      <c r="G136" s="78"/>
      <c r="H136" s="78"/>
      <c r="I136" s="375"/>
      <c r="J136" s="64">
        <f t="shared" si="32"/>
        <v>36054</v>
      </c>
      <c r="K136" s="500">
        <f t="shared" si="33"/>
        <v>9308633</v>
      </c>
    </row>
    <row r="137" spans="1:11" x14ac:dyDescent="0.25">
      <c r="A137" s="200" t="s">
        <v>697</v>
      </c>
      <c r="B137" s="200"/>
      <c r="C137" s="217"/>
      <c r="D137" s="217">
        <v>86520</v>
      </c>
      <c r="E137" s="321"/>
      <c r="F137" s="176"/>
      <c r="G137" s="176"/>
      <c r="H137" s="176"/>
      <c r="I137" s="176"/>
      <c r="J137" s="64">
        <f t="shared" si="32"/>
        <v>86520</v>
      </c>
      <c r="K137" s="500">
        <f t="shared" si="33"/>
        <v>9395153</v>
      </c>
    </row>
    <row r="138" spans="1:11" ht="15.75" thickBot="1" x14ac:dyDescent="0.3">
      <c r="A138" s="370" t="s">
        <v>703</v>
      </c>
      <c r="B138" s="527"/>
      <c r="C138" s="116"/>
      <c r="D138" s="116">
        <v>103399</v>
      </c>
      <c r="E138" s="116"/>
      <c r="F138" s="116"/>
      <c r="G138" s="10"/>
      <c r="H138" s="116"/>
      <c r="I138" s="116"/>
      <c r="J138" s="116">
        <f t="shared" si="32"/>
        <v>103399</v>
      </c>
      <c r="K138" s="528">
        <f t="shared" si="33"/>
        <v>9498552</v>
      </c>
    </row>
    <row r="139" spans="1:11" x14ac:dyDescent="0.25">
      <c r="A139" s="79" t="s">
        <v>712</v>
      </c>
      <c r="B139" s="190"/>
      <c r="C139" s="324">
        <f>SUM(C131:C138)</f>
        <v>8487996</v>
      </c>
      <c r="D139" s="324">
        <f t="shared" ref="D139:I139" si="34">SUM(D131:D138)</f>
        <v>1010556</v>
      </c>
      <c r="E139" s="324">
        <f t="shared" si="34"/>
        <v>0</v>
      </c>
      <c r="F139" s="324">
        <f t="shared" si="34"/>
        <v>0</v>
      </c>
      <c r="G139" s="529">
        <f t="shared" si="34"/>
        <v>0</v>
      </c>
      <c r="H139" s="324">
        <f t="shared" si="34"/>
        <v>0</v>
      </c>
      <c r="I139" s="324">
        <f t="shared" si="34"/>
        <v>0</v>
      </c>
      <c r="J139" s="485">
        <f>SUM(J131:J138)</f>
        <v>3487792</v>
      </c>
      <c r="K139" s="485">
        <f>+K138</f>
        <v>9498552</v>
      </c>
    </row>
    <row r="140" spans="1:11" x14ac:dyDescent="0.25">
      <c r="A140" s="200" t="s">
        <v>719</v>
      </c>
      <c r="B140" s="200"/>
      <c r="C140" s="8"/>
      <c r="D140" s="8"/>
      <c r="E140" s="8"/>
      <c r="F140" s="8"/>
      <c r="G140" s="8">
        <v>649944</v>
      </c>
      <c r="H140" s="8"/>
      <c r="I140" s="8"/>
      <c r="J140" s="499">
        <f t="shared" si="32"/>
        <v>649944</v>
      </c>
      <c r="K140" s="500">
        <f t="shared" si="33"/>
        <v>10148496</v>
      </c>
    </row>
    <row r="141" spans="1:11" x14ac:dyDescent="0.25">
      <c r="A141" s="200" t="s">
        <v>732</v>
      </c>
      <c r="B141" s="200"/>
      <c r="C141" s="8"/>
      <c r="D141" s="8"/>
      <c r="E141" s="8"/>
      <c r="F141" s="8"/>
      <c r="G141" s="8">
        <v>449875</v>
      </c>
      <c r="H141" s="8"/>
      <c r="I141" s="8"/>
      <c r="J141" s="499">
        <f t="shared" si="32"/>
        <v>449875</v>
      </c>
      <c r="K141" s="500">
        <f t="shared" si="33"/>
        <v>10598371</v>
      </c>
    </row>
    <row r="142" spans="1:11" x14ac:dyDescent="0.25">
      <c r="A142" s="340" t="s">
        <v>752</v>
      </c>
      <c r="B142" s="265"/>
      <c r="C142" s="81">
        <v>882524</v>
      </c>
      <c r="D142" s="80"/>
      <c r="E142" s="80"/>
      <c r="F142" s="80"/>
      <c r="G142" s="80"/>
      <c r="H142" s="80"/>
      <c r="I142" s="80"/>
      <c r="J142" s="499">
        <f t="shared" si="32"/>
        <v>882524</v>
      </c>
      <c r="K142" s="500">
        <f t="shared" si="33"/>
        <v>11480895</v>
      </c>
    </row>
    <row r="143" spans="1:11" x14ac:dyDescent="0.25">
      <c r="A143" s="200" t="s">
        <v>755</v>
      </c>
      <c r="B143" s="200"/>
      <c r="C143" s="531">
        <v>12268</v>
      </c>
      <c r="D143" s="8"/>
      <c r="E143" s="8"/>
      <c r="F143" s="8"/>
      <c r="G143" s="8"/>
      <c r="H143" s="8"/>
      <c r="I143" s="8"/>
      <c r="J143" s="500">
        <f>SUM(C143:I143)</f>
        <v>12268</v>
      </c>
      <c r="K143" s="500">
        <f t="shared" si="33"/>
        <v>11493163</v>
      </c>
    </row>
    <row r="144" spans="1:11" x14ac:dyDescent="0.25">
      <c r="A144" s="501" t="s">
        <v>754</v>
      </c>
      <c r="B144" s="170"/>
      <c r="C144" s="532">
        <v>48238</v>
      </c>
      <c r="E144" s="64"/>
      <c r="F144" s="64"/>
      <c r="G144" s="64"/>
      <c r="H144" s="64"/>
      <c r="I144" s="64"/>
      <c r="J144" s="500">
        <f>SUM(C144:I144)</f>
        <v>48238</v>
      </c>
      <c r="K144" s="8">
        <f>+K143+J144</f>
        <v>11541401</v>
      </c>
    </row>
    <row r="145" spans="1:11" ht="15.75" thickBot="1" x14ac:dyDescent="0.3">
      <c r="A145" s="537" t="s">
        <v>753</v>
      </c>
      <c r="B145" s="445"/>
      <c r="C145" s="10"/>
      <c r="D145" s="10">
        <v>103399</v>
      </c>
      <c r="E145" s="215"/>
      <c r="F145" s="3"/>
      <c r="G145" s="3"/>
      <c r="H145" s="3"/>
      <c r="I145" s="3"/>
      <c r="J145" s="528">
        <f>SUM(C145:I145)</f>
        <v>103399</v>
      </c>
      <c r="K145" s="10">
        <f>+K144+J145</f>
        <v>11644800</v>
      </c>
    </row>
    <row r="146" spans="1:11" x14ac:dyDescent="0.25">
      <c r="A146" s="538" t="s">
        <v>70</v>
      </c>
      <c r="B146" s="320"/>
      <c r="C146" s="80">
        <f>SUM(C139:C145)</f>
        <v>9431026</v>
      </c>
      <c r="D146" s="80">
        <f t="shared" ref="D146:I146" si="35">SUM(D139:D145)</f>
        <v>1113955</v>
      </c>
      <c r="E146" s="80">
        <f t="shared" si="35"/>
        <v>0</v>
      </c>
      <c r="F146" s="80">
        <f t="shared" si="35"/>
        <v>0</v>
      </c>
      <c r="G146" s="80">
        <f t="shared" si="35"/>
        <v>1099819</v>
      </c>
      <c r="H146" s="80">
        <f t="shared" si="35"/>
        <v>0</v>
      </c>
      <c r="I146" s="80">
        <f t="shared" si="35"/>
        <v>0</v>
      </c>
      <c r="J146" s="80">
        <f>SUM(J140:J145)</f>
        <v>2146248</v>
      </c>
      <c r="K146" s="80">
        <f>+K145</f>
        <v>11644800</v>
      </c>
    </row>
    <row r="147" spans="1:11" x14ac:dyDescent="0.25">
      <c r="A147" s="145" t="s">
        <v>804</v>
      </c>
      <c r="B147" s="190"/>
      <c r="C147" s="81">
        <v>882524</v>
      </c>
      <c r="D147" s="80"/>
      <c r="E147" s="80"/>
      <c r="F147" s="80"/>
      <c r="G147" s="80"/>
      <c r="H147" s="80"/>
      <c r="I147" s="80"/>
      <c r="J147" s="81">
        <f t="shared" ref="J147:J152" si="36">SUM(C147:I147)</f>
        <v>882524</v>
      </c>
      <c r="K147" s="81">
        <f>+K146+J147</f>
        <v>12527324</v>
      </c>
    </row>
    <row r="148" spans="1:11" x14ac:dyDescent="0.25">
      <c r="A148" s="200" t="s">
        <v>812</v>
      </c>
      <c r="B148" s="200"/>
      <c r="C148" s="8">
        <v>12268</v>
      </c>
      <c r="D148" s="8"/>
      <c r="E148" s="533"/>
      <c r="F148" s="8"/>
      <c r="G148" s="8"/>
      <c r="H148" s="8"/>
      <c r="I148" s="8"/>
      <c r="J148" s="81">
        <f t="shared" si="36"/>
        <v>12268</v>
      </c>
      <c r="K148" s="8">
        <f>+K147+J148</f>
        <v>12539592</v>
      </c>
    </row>
    <row r="149" spans="1:11" x14ac:dyDescent="0.25">
      <c r="A149" s="200" t="s">
        <v>822</v>
      </c>
      <c r="B149" s="200"/>
      <c r="C149" s="8">
        <v>48238</v>
      </c>
      <c r="D149" s="8"/>
      <c r="E149" s="8"/>
      <c r="F149" s="8"/>
      <c r="G149" s="8"/>
      <c r="H149" s="8"/>
      <c r="I149" s="8"/>
      <c r="J149" s="81">
        <f t="shared" si="36"/>
        <v>48238</v>
      </c>
      <c r="K149" s="8">
        <f>+K148+J149</f>
        <v>12587830</v>
      </c>
    </row>
    <row r="150" spans="1:11" x14ac:dyDescent="0.25">
      <c r="A150" s="200" t="s">
        <v>823</v>
      </c>
      <c r="B150" s="200"/>
      <c r="C150" s="8"/>
      <c r="D150" s="8">
        <v>103399</v>
      </c>
      <c r="E150" s="8"/>
      <c r="F150" s="8"/>
      <c r="G150" s="8"/>
      <c r="H150" s="8"/>
      <c r="I150" s="8"/>
      <c r="J150" s="81">
        <f t="shared" si="36"/>
        <v>103399</v>
      </c>
      <c r="K150" s="8">
        <f>+K149+J150</f>
        <v>12691229</v>
      </c>
    </row>
    <row r="151" spans="1:11" x14ac:dyDescent="0.25">
      <c r="A151" s="200" t="s">
        <v>851</v>
      </c>
      <c r="B151" s="200"/>
      <c r="C151" s="8">
        <v>882524</v>
      </c>
      <c r="D151" s="8"/>
      <c r="E151" s="8"/>
      <c r="F151" s="8"/>
      <c r="G151" s="8"/>
      <c r="H151" s="8"/>
      <c r="I151" s="8"/>
      <c r="J151" s="81">
        <f t="shared" si="36"/>
        <v>882524</v>
      </c>
      <c r="K151" s="8">
        <f>+K150+J151</f>
        <v>13573753</v>
      </c>
    </row>
    <row r="152" spans="1:11" ht="15.75" thickBot="1" x14ac:dyDescent="0.3">
      <c r="A152" s="200" t="s">
        <v>859</v>
      </c>
      <c r="B152" s="200"/>
      <c r="C152" s="8">
        <v>12268</v>
      </c>
      <c r="D152" s="8"/>
      <c r="E152" s="8"/>
      <c r="F152" s="8"/>
      <c r="G152" s="8"/>
      <c r="H152" s="8"/>
      <c r="I152" s="8"/>
      <c r="J152" s="81">
        <f t="shared" si="36"/>
        <v>12268</v>
      </c>
      <c r="K152" s="8">
        <f>+K148+J152</f>
        <v>12551860</v>
      </c>
    </row>
    <row r="153" spans="1:11" ht="15.75" thickBot="1" x14ac:dyDescent="0.3">
      <c r="A153" s="164" t="s">
        <v>61</v>
      </c>
      <c r="B153" s="172"/>
      <c r="C153" s="83">
        <f>SUM(C146:C152)</f>
        <v>11268848</v>
      </c>
      <c r="D153" s="83">
        <f t="shared" ref="D153:I153" si="37">SUM(D146:D152)</f>
        <v>1217354</v>
      </c>
      <c r="E153" s="83">
        <f t="shared" si="37"/>
        <v>0</v>
      </c>
      <c r="F153" s="83">
        <f t="shared" si="37"/>
        <v>0</v>
      </c>
      <c r="G153" s="83">
        <f t="shared" si="37"/>
        <v>1099819</v>
      </c>
      <c r="H153" s="83">
        <f t="shared" si="37"/>
        <v>0</v>
      </c>
      <c r="I153" s="83">
        <f t="shared" si="37"/>
        <v>0</v>
      </c>
      <c r="J153" s="83">
        <f>SUM(J148:J152)</f>
        <v>1058697</v>
      </c>
      <c r="K153" s="149">
        <f>+SUM(C153:I153)</f>
        <v>13586021</v>
      </c>
    </row>
    <row r="154" spans="1:11" x14ac:dyDescent="0.25">
      <c r="A154" t="s">
        <v>5</v>
      </c>
    </row>
    <row r="156" spans="1:11" x14ac:dyDescent="0.25">
      <c r="A156" s="328" t="s">
        <v>67</v>
      </c>
      <c r="B156" s="328"/>
      <c r="C156" s="329">
        <f>+C11-C153</f>
        <v>395152</v>
      </c>
      <c r="D156" s="329">
        <f t="shared" ref="D156:I156" si="38">+D11-D153</f>
        <v>44646</v>
      </c>
      <c r="E156" s="329">
        <f t="shared" si="38"/>
        <v>0</v>
      </c>
      <c r="F156" s="329">
        <f t="shared" si="38"/>
        <v>1400000</v>
      </c>
      <c r="G156" s="329">
        <f t="shared" si="38"/>
        <v>1050181</v>
      </c>
      <c r="H156" s="329">
        <f t="shared" si="38"/>
        <v>0</v>
      </c>
      <c r="I156" s="329">
        <f t="shared" si="38"/>
        <v>0</v>
      </c>
      <c r="J156" s="329">
        <f>+J11-J146</f>
        <v>14329752</v>
      </c>
      <c r="K156" s="329">
        <f>+K11-K146</f>
        <v>4831200</v>
      </c>
    </row>
    <row r="157" spans="1:11" x14ac:dyDescent="0.25">
      <c r="A157" t="s">
        <v>9</v>
      </c>
      <c r="E157" t="s">
        <v>50</v>
      </c>
      <c r="I157" t="s">
        <v>45</v>
      </c>
    </row>
    <row r="158" spans="1:11" x14ac:dyDescent="0.25">
      <c r="A158" t="s">
        <v>44</v>
      </c>
    </row>
    <row r="159" spans="1:11" x14ac:dyDescent="0.25">
      <c r="E159" t="s">
        <v>13</v>
      </c>
      <c r="F159" s="13">
        <v>6031</v>
      </c>
      <c r="I159" t="s">
        <v>75</v>
      </c>
    </row>
    <row r="160" spans="1:11" x14ac:dyDescent="0.25">
      <c r="E160" t="s">
        <v>6</v>
      </c>
      <c r="F160" s="13" t="s">
        <v>7</v>
      </c>
    </row>
    <row r="161" spans="1:11" ht="15.75" thickBot="1" x14ac:dyDescent="0.3"/>
    <row r="162" spans="1:11" ht="30.75" thickBot="1" x14ac:dyDescent="0.3">
      <c r="A162" s="75" t="s">
        <v>42</v>
      </c>
      <c r="B162" s="165"/>
      <c r="C162" s="45">
        <v>1</v>
      </c>
      <c r="D162" s="45">
        <v>2</v>
      </c>
      <c r="E162" s="45">
        <v>3</v>
      </c>
      <c r="F162" s="45">
        <v>4</v>
      </c>
      <c r="G162" s="45">
        <v>5</v>
      </c>
      <c r="H162" s="45">
        <v>6</v>
      </c>
      <c r="I162" s="45">
        <v>7</v>
      </c>
      <c r="J162" s="51" t="s">
        <v>16</v>
      </c>
      <c r="K162" s="139" t="s">
        <v>17</v>
      </c>
    </row>
    <row r="163" spans="1:11" x14ac:dyDescent="0.25">
      <c r="A163" s="76" t="s">
        <v>43</v>
      </c>
      <c r="B163" s="166"/>
      <c r="C163" s="35">
        <f>+C153</f>
        <v>11268848</v>
      </c>
      <c r="D163" s="35">
        <f t="shared" ref="D163:K163" si="39">+D153</f>
        <v>1217354</v>
      </c>
      <c r="E163" s="35">
        <f t="shared" si="39"/>
        <v>0</v>
      </c>
      <c r="F163" s="35">
        <f t="shared" si="39"/>
        <v>0</v>
      </c>
      <c r="G163" s="35">
        <f t="shared" si="39"/>
        <v>1099819</v>
      </c>
      <c r="H163" s="35">
        <f t="shared" si="39"/>
        <v>0</v>
      </c>
      <c r="I163" s="35">
        <f t="shared" si="39"/>
        <v>0</v>
      </c>
      <c r="J163" s="35">
        <f t="shared" si="39"/>
        <v>1058697</v>
      </c>
      <c r="K163" s="35">
        <f t="shared" si="39"/>
        <v>13586021</v>
      </c>
    </row>
    <row r="164" spans="1:11" x14ac:dyDescent="0.25">
      <c r="A164" s="200" t="s">
        <v>866</v>
      </c>
      <c r="B164" s="200"/>
      <c r="C164" s="8">
        <v>48328</v>
      </c>
      <c r="D164" s="16"/>
      <c r="E164" s="16"/>
      <c r="F164" s="16"/>
      <c r="G164" s="16"/>
      <c r="H164" s="16"/>
      <c r="I164" s="16"/>
      <c r="J164" s="8">
        <f t="shared" ref="J164:J171" si="40">SUM(C164:I164)</f>
        <v>48328</v>
      </c>
      <c r="K164" s="8">
        <f>+K163+J164</f>
        <v>13634349</v>
      </c>
    </row>
    <row r="165" spans="1:11" x14ac:dyDescent="0.25">
      <c r="A165" s="200" t="s">
        <v>873</v>
      </c>
      <c r="B165" s="511"/>
      <c r="C165" s="8"/>
      <c r="D165" s="8">
        <v>103399</v>
      </c>
      <c r="E165" s="176"/>
      <c r="F165" s="176"/>
      <c r="G165" s="176"/>
      <c r="H165" s="8"/>
      <c r="I165" s="8"/>
      <c r="J165" s="8">
        <f t="shared" si="40"/>
        <v>103399</v>
      </c>
      <c r="K165" s="8">
        <f>+K164+J165</f>
        <v>13737748</v>
      </c>
    </row>
    <row r="166" spans="1:11" x14ac:dyDescent="0.25">
      <c r="A166" s="200" t="s">
        <v>884</v>
      </c>
      <c r="B166" s="511"/>
      <c r="C166" s="8"/>
      <c r="D166" s="8"/>
      <c r="E166" s="176"/>
      <c r="F166" s="8">
        <v>300000</v>
      </c>
      <c r="G166" s="176"/>
      <c r="H166" s="8"/>
      <c r="I166" s="8"/>
      <c r="J166" s="8">
        <f t="shared" si="40"/>
        <v>300000</v>
      </c>
      <c r="K166" s="8">
        <f>+K165+J166</f>
        <v>14037748</v>
      </c>
    </row>
    <row r="167" spans="1:11" x14ac:dyDescent="0.25">
      <c r="A167" s="200" t="s">
        <v>885</v>
      </c>
      <c r="B167" s="200"/>
      <c r="C167" s="8"/>
      <c r="D167" s="8"/>
      <c r="E167" s="8"/>
      <c r="F167" s="8">
        <v>200000</v>
      </c>
      <c r="G167" s="8"/>
      <c r="H167" s="8"/>
      <c r="I167" s="163"/>
      <c r="J167" s="8">
        <f t="shared" si="40"/>
        <v>200000</v>
      </c>
      <c r="K167" s="8">
        <f t="shared" ref="K167:K172" si="41">+K166+J167</f>
        <v>14237748</v>
      </c>
    </row>
    <row r="168" spans="1:11" x14ac:dyDescent="0.25">
      <c r="A168" s="200" t="s">
        <v>893</v>
      </c>
      <c r="B168" s="200"/>
      <c r="C168" s="8"/>
      <c r="D168" s="8"/>
      <c r="E168" s="8"/>
      <c r="F168" s="8">
        <v>900000</v>
      </c>
      <c r="G168" s="8"/>
      <c r="H168" s="8"/>
      <c r="I168" s="163"/>
      <c r="J168" s="8">
        <f t="shared" si="40"/>
        <v>900000</v>
      </c>
      <c r="K168" s="8">
        <f t="shared" si="41"/>
        <v>15137748</v>
      </c>
    </row>
    <row r="169" spans="1:11" ht="15.75" thickBot="1" x14ac:dyDescent="0.3">
      <c r="A169" s="542" t="s">
        <v>873</v>
      </c>
      <c r="B169" s="348"/>
      <c r="C169" s="282"/>
      <c r="D169" s="175">
        <v>-103399</v>
      </c>
      <c r="E169" s="558"/>
      <c r="F169" s="175"/>
      <c r="G169" s="175"/>
      <c r="H169" s="175"/>
      <c r="I169" s="175"/>
      <c r="J169" s="175">
        <f t="shared" si="40"/>
        <v>-103399</v>
      </c>
      <c r="K169" s="64">
        <f t="shared" si="41"/>
        <v>15034349</v>
      </c>
    </row>
    <row r="170" spans="1:11" ht="15.75" thickBot="1" x14ac:dyDescent="0.3">
      <c r="A170" s="559" t="s">
        <v>74</v>
      </c>
      <c r="B170" s="556"/>
      <c r="C170" s="83">
        <f>SUM(C163:C169)</f>
        <v>11317176</v>
      </c>
      <c r="D170" s="83">
        <f t="shared" ref="D170:I170" si="42">SUM(D163:D169)</f>
        <v>1217354</v>
      </c>
      <c r="E170" s="83">
        <f t="shared" si="42"/>
        <v>0</v>
      </c>
      <c r="F170" s="83">
        <f t="shared" si="42"/>
        <v>1400000</v>
      </c>
      <c r="G170" s="83">
        <f t="shared" si="42"/>
        <v>1099819</v>
      </c>
      <c r="H170" s="83">
        <f t="shared" si="42"/>
        <v>0</v>
      </c>
      <c r="I170" s="83">
        <f t="shared" si="42"/>
        <v>0</v>
      </c>
      <c r="J170" s="83"/>
      <c r="K170" s="149">
        <f t="shared" si="41"/>
        <v>15034349</v>
      </c>
    </row>
    <row r="171" spans="1:11" ht="15.75" thickBot="1" x14ac:dyDescent="0.3">
      <c r="A171" s="501" t="s">
        <v>923</v>
      </c>
      <c r="B171" s="501"/>
      <c r="C171" s="78"/>
      <c r="D171" s="78"/>
      <c r="E171" s="78"/>
      <c r="F171" s="78"/>
      <c r="G171" s="78">
        <v>980394</v>
      </c>
      <c r="H171" s="78"/>
      <c r="I171" s="78"/>
      <c r="J171" s="286">
        <f t="shared" si="40"/>
        <v>980394</v>
      </c>
      <c r="K171" s="78">
        <f t="shared" si="41"/>
        <v>16014743</v>
      </c>
    </row>
    <row r="172" spans="1:11" ht="15.75" thickBot="1" x14ac:dyDescent="0.3">
      <c r="A172" s="319" t="s">
        <v>914</v>
      </c>
      <c r="B172" s="556"/>
      <c r="C172" s="83">
        <f>SUM(C170:C171)</f>
        <v>11317176</v>
      </c>
      <c r="D172" s="83">
        <f t="shared" ref="D172:I172" si="43">SUM(D170:D171)</f>
        <v>1217354</v>
      </c>
      <c r="E172" s="83">
        <f t="shared" si="43"/>
        <v>0</v>
      </c>
      <c r="F172" s="83">
        <f t="shared" si="43"/>
        <v>1400000</v>
      </c>
      <c r="G172" s="83">
        <f t="shared" si="43"/>
        <v>2080213</v>
      </c>
      <c r="H172" s="83">
        <f t="shared" si="43"/>
        <v>0</v>
      </c>
      <c r="I172" s="83">
        <f t="shared" si="43"/>
        <v>0</v>
      </c>
      <c r="J172" s="83"/>
      <c r="K172" s="149">
        <f t="shared" si="41"/>
        <v>16014743</v>
      </c>
    </row>
    <row r="173" spans="1:11" x14ac:dyDescent="0.25">
      <c r="A173" s="340"/>
      <c r="B173" s="340"/>
      <c r="C173" s="81"/>
      <c r="D173" s="81"/>
      <c r="E173" s="81"/>
      <c r="F173" s="81"/>
      <c r="G173" s="81"/>
      <c r="H173" s="81"/>
      <c r="I173" s="81"/>
      <c r="J173" s="216"/>
      <c r="K173" s="81"/>
    </row>
    <row r="174" spans="1:11" x14ac:dyDescent="0.25">
      <c r="A174" s="200"/>
      <c r="B174" s="200"/>
      <c r="C174" s="8"/>
      <c r="D174" s="8"/>
      <c r="E174" s="8"/>
      <c r="F174" s="8"/>
      <c r="G174" s="8"/>
      <c r="H174" s="8"/>
      <c r="I174" s="8"/>
      <c r="J174" s="217"/>
      <c r="K174" s="8"/>
    </row>
    <row r="175" spans="1:11" x14ac:dyDescent="0.25">
      <c r="A175" s="200"/>
      <c r="B175" s="200"/>
      <c r="C175" s="8"/>
      <c r="D175" s="8"/>
      <c r="E175" s="8"/>
      <c r="F175" s="8"/>
      <c r="G175" s="8"/>
      <c r="H175" s="8"/>
      <c r="I175" s="8"/>
      <c r="J175" s="217"/>
      <c r="K175" s="8"/>
    </row>
    <row r="176" spans="1:11" x14ac:dyDescent="0.25">
      <c r="A176" s="200"/>
      <c r="B176" s="200"/>
      <c r="C176" s="8"/>
      <c r="D176" s="8"/>
      <c r="E176" s="8"/>
      <c r="F176" s="8"/>
      <c r="G176" s="8"/>
      <c r="H176" s="8"/>
      <c r="I176" s="8"/>
      <c r="J176" s="217"/>
      <c r="K176" s="8"/>
    </row>
    <row r="177" spans="1:11" x14ac:dyDescent="0.25">
      <c r="A177" s="200"/>
      <c r="B177" s="200"/>
      <c r="C177" s="8"/>
      <c r="D177" s="8"/>
      <c r="E177" s="8"/>
      <c r="F177" s="8"/>
      <c r="G177" s="8"/>
      <c r="H177" s="8"/>
      <c r="I177" s="8"/>
      <c r="J177" s="217"/>
      <c r="K177" s="8"/>
    </row>
    <row r="178" spans="1:11" x14ac:dyDescent="0.25">
      <c r="A178" s="200"/>
      <c r="B178" s="436"/>
      <c r="C178" s="8"/>
      <c r="D178" s="16"/>
      <c r="E178" s="16"/>
      <c r="F178" s="16"/>
      <c r="G178" s="16"/>
      <c r="H178" s="16"/>
      <c r="I178" s="16"/>
      <c r="J178" s="217">
        <f t="shared" ref="J178:J184" si="44">SUM(C178:I178)</f>
        <v>0</v>
      </c>
      <c r="K178" s="8"/>
    </row>
    <row r="179" spans="1:11" x14ac:dyDescent="0.25">
      <c r="A179" s="200"/>
      <c r="B179" s="200"/>
      <c r="C179" s="323"/>
      <c r="D179" s="8"/>
      <c r="E179" s="8"/>
      <c r="F179" s="8"/>
      <c r="G179" s="8"/>
      <c r="H179" s="8"/>
      <c r="I179" s="8"/>
      <c r="J179" s="8">
        <f t="shared" si="44"/>
        <v>0</v>
      </c>
      <c r="K179" s="8"/>
    </row>
    <row r="180" spans="1:11" x14ac:dyDescent="0.25">
      <c r="A180" s="501"/>
      <c r="B180" s="170"/>
      <c r="C180" s="532"/>
      <c r="E180" s="64"/>
      <c r="F180" s="64"/>
      <c r="G180" s="64"/>
      <c r="H180" s="64"/>
      <c r="I180" s="64"/>
      <c r="J180" s="500">
        <f t="shared" si="44"/>
        <v>0</v>
      </c>
      <c r="K180" s="8"/>
    </row>
    <row r="181" spans="1:11" x14ac:dyDescent="0.25">
      <c r="A181" s="200"/>
      <c r="B181" s="200"/>
      <c r="C181" s="8"/>
      <c r="D181" s="8"/>
      <c r="E181" s="8"/>
      <c r="F181" s="8"/>
      <c r="G181" s="8"/>
      <c r="H181" s="8"/>
      <c r="I181" s="8"/>
      <c r="J181" s="81">
        <f t="shared" si="44"/>
        <v>0</v>
      </c>
      <c r="K181" s="8"/>
    </row>
    <row r="182" spans="1:11" x14ac:dyDescent="0.25">
      <c r="A182" s="200"/>
      <c r="B182" s="200"/>
      <c r="C182" s="8"/>
      <c r="D182" s="8"/>
      <c r="E182" s="8"/>
      <c r="F182" s="8"/>
      <c r="G182" s="8"/>
      <c r="H182" s="8"/>
      <c r="I182" s="8"/>
      <c r="J182" s="81">
        <f t="shared" si="44"/>
        <v>0</v>
      </c>
      <c r="K182" s="8"/>
    </row>
    <row r="183" spans="1:11" x14ac:dyDescent="0.25">
      <c r="A183" s="200"/>
      <c r="B183" s="200"/>
      <c r="C183" s="8"/>
      <c r="D183" s="8"/>
      <c r="E183" s="8"/>
      <c r="F183" s="8"/>
      <c r="G183" s="8"/>
      <c r="H183" s="8"/>
      <c r="I183" s="8"/>
      <c r="J183" s="81">
        <f t="shared" si="44"/>
        <v>0</v>
      </c>
      <c r="K183" s="8"/>
    </row>
    <row r="184" spans="1:11" ht="15.75" thickBot="1" x14ac:dyDescent="0.3">
      <c r="A184" s="200"/>
      <c r="B184" s="200"/>
      <c r="C184" s="8"/>
      <c r="D184" s="8"/>
      <c r="E184" s="8"/>
      <c r="F184" s="8"/>
      <c r="G184" s="8"/>
      <c r="H184" s="8"/>
      <c r="I184" s="8"/>
      <c r="J184" s="81">
        <f t="shared" si="44"/>
        <v>0</v>
      </c>
      <c r="K184" s="8"/>
    </row>
    <row r="185" spans="1:11" ht="15.75" thickBot="1" x14ac:dyDescent="0.3">
      <c r="A185" s="164" t="s">
        <v>61</v>
      </c>
      <c r="B185" s="172"/>
      <c r="C185" s="83">
        <f>SUM(C170:C184)</f>
        <v>22634352</v>
      </c>
      <c r="D185" s="83">
        <f t="shared" ref="D185:I185" si="45">SUM(D170:D184)</f>
        <v>2434708</v>
      </c>
      <c r="E185" s="83">
        <f t="shared" si="45"/>
        <v>0</v>
      </c>
      <c r="F185" s="83">
        <f t="shared" si="45"/>
        <v>2800000</v>
      </c>
      <c r="G185" s="83">
        <f t="shared" si="45"/>
        <v>4160426</v>
      </c>
      <c r="H185" s="83">
        <f t="shared" si="45"/>
        <v>0</v>
      </c>
      <c r="I185" s="83">
        <f t="shared" si="45"/>
        <v>0</v>
      </c>
      <c r="J185" s="83">
        <f>SUM(J181:J184)</f>
        <v>0</v>
      </c>
      <c r="K185" s="149">
        <f>+K184</f>
        <v>0</v>
      </c>
    </row>
    <row r="186" spans="1:11" x14ac:dyDescent="0.25">
      <c r="A186" t="s">
        <v>5</v>
      </c>
    </row>
    <row r="188" spans="1:11" x14ac:dyDescent="0.25">
      <c r="A188" s="328" t="s">
        <v>67</v>
      </c>
      <c r="B188" s="328"/>
      <c r="C188" s="329">
        <f>+C11-C172</f>
        <v>346824</v>
      </c>
      <c r="D188" s="329">
        <f t="shared" ref="D188:K188" si="46">+D11-D172</f>
        <v>44646</v>
      </c>
      <c r="E188" s="329">
        <f t="shared" si="46"/>
        <v>0</v>
      </c>
      <c r="F188" s="329">
        <f t="shared" si="46"/>
        <v>0</v>
      </c>
      <c r="G188" s="329">
        <f t="shared" si="46"/>
        <v>69787</v>
      </c>
      <c r="H188" s="329">
        <f t="shared" si="46"/>
        <v>0</v>
      </c>
      <c r="I188" s="329">
        <f t="shared" si="46"/>
        <v>0</v>
      </c>
      <c r="J188" s="329"/>
      <c r="K188" s="329">
        <f t="shared" si="46"/>
        <v>461257</v>
      </c>
    </row>
  </sheetData>
  <mergeCells count="1">
    <mergeCell ref="B12:K12"/>
  </mergeCells>
  <pageMargins left="0.22916666666666666" right="0.51041666666666663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6"/>
  <sheetViews>
    <sheetView topLeftCell="A10" workbookViewId="0">
      <selection activeCell="H18" sqref="H18"/>
    </sheetView>
  </sheetViews>
  <sheetFormatPr baseColWidth="10" defaultColWidth="11.42578125" defaultRowHeight="15" x14ac:dyDescent="0.25"/>
  <cols>
    <col min="2" max="2" width="10.42578125" customWidth="1"/>
    <col min="3" max="3" width="10.7109375" customWidth="1"/>
    <col min="4" max="4" width="10.85546875" customWidth="1"/>
    <col min="5" max="5" width="11.42578125" customWidth="1"/>
    <col min="6" max="6" width="12.140625" customWidth="1"/>
    <col min="7" max="7" width="10.28515625" customWidth="1"/>
    <col min="8" max="8" width="10.7109375" customWidth="1"/>
    <col min="9" max="9" width="9.85546875" customWidth="1"/>
    <col min="11" max="11" width="11.5703125" customWidth="1"/>
    <col min="12" max="12" width="12.42578125" customWidth="1"/>
    <col min="13" max="13" width="13.1406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6033</v>
      </c>
      <c r="I3" t="s">
        <v>75</v>
      </c>
    </row>
    <row r="4" spans="1:11" x14ac:dyDescent="0.25">
      <c r="E4" t="s">
        <v>6</v>
      </c>
      <c r="F4" s="13" t="s">
        <v>48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5"/>
      <c r="F6" s="41">
        <v>4</v>
      </c>
      <c r="G6" s="41"/>
      <c r="H6" s="41"/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>
        <v>3000000</v>
      </c>
      <c r="G7" s="26"/>
      <c r="H7" s="26"/>
      <c r="I7" s="26"/>
      <c r="J7" s="28">
        <f>SUM(B7:I7)</f>
        <v>3000000</v>
      </c>
      <c r="K7" s="29">
        <f>J7</f>
        <v>3000000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3000000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3000000</v>
      </c>
      <c r="K11" s="23">
        <f>K10+J11</f>
        <v>3000000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8" t="s">
        <v>556</v>
      </c>
      <c r="B13" s="59"/>
      <c r="C13" s="59"/>
      <c r="D13" s="59"/>
      <c r="E13" s="59"/>
      <c r="F13" s="59">
        <v>700000</v>
      </c>
      <c r="G13" s="59"/>
      <c r="H13" s="59"/>
      <c r="I13" s="59"/>
      <c r="J13" s="59">
        <f>SUM(B13:I13)</f>
        <v>700000</v>
      </c>
      <c r="K13" s="67">
        <f>J13</f>
        <v>700000</v>
      </c>
    </row>
    <row r="14" spans="1:11" ht="15.75" thickBot="1" x14ac:dyDescent="0.3">
      <c r="A14" s="515" t="s">
        <v>557</v>
      </c>
      <c r="B14" s="3"/>
      <c r="C14" s="3"/>
      <c r="D14" s="3"/>
      <c r="E14" s="3"/>
      <c r="F14" s="10">
        <v>800000</v>
      </c>
      <c r="G14" s="3"/>
      <c r="H14" s="3">
        <f>SUM(H13)</f>
        <v>0</v>
      </c>
      <c r="I14" s="3">
        <f>SUM(I13)</f>
        <v>0</v>
      </c>
      <c r="J14" s="110">
        <f>SUM(B14:I14)</f>
        <v>800000</v>
      </c>
      <c r="K14" s="10">
        <f>+K13+J14</f>
        <v>1500000</v>
      </c>
    </row>
    <row r="15" spans="1:11" x14ac:dyDescent="0.25">
      <c r="A15" s="514" t="s">
        <v>66</v>
      </c>
      <c r="B15" s="80"/>
      <c r="C15" s="80"/>
      <c r="D15" s="80"/>
      <c r="E15" s="80"/>
      <c r="F15" s="80">
        <f>SUM(F13:F14)</f>
        <v>1500000</v>
      </c>
      <c r="G15" s="80"/>
      <c r="H15" s="80"/>
      <c r="I15" s="80"/>
      <c r="J15" s="80">
        <f>SUM(D15:I15)</f>
        <v>1500000</v>
      </c>
      <c r="K15" s="80">
        <f>+K14</f>
        <v>1500000</v>
      </c>
    </row>
    <row r="16" spans="1:11" x14ac:dyDescent="0.25">
      <c r="A16" s="512" t="s">
        <v>894</v>
      </c>
      <c r="B16" s="8"/>
      <c r="C16" s="8"/>
      <c r="D16" s="8"/>
      <c r="E16" s="8"/>
      <c r="F16" s="8">
        <v>800000</v>
      </c>
      <c r="G16" s="8"/>
      <c r="H16" s="16"/>
      <c r="I16" s="16"/>
      <c r="J16" s="8">
        <f>SUM(D16:I16)</f>
        <v>800000</v>
      </c>
      <c r="K16" s="8">
        <f>K15+J16</f>
        <v>2300000</v>
      </c>
    </row>
    <row r="17" spans="1:11" x14ac:dyDescent="0.25">
      <c r="A17" s="547" t="s">
        <v>895</v>
      </c>
      <c r="B17" s="80"/>
      <c r="C17" s="80"/>
      <c r="D17" s="80"/>
      <c r="E17" s="80"/>
      <c r="F17" s="81">
        <v>700000</v>
      </c>
      <c r="G17" s="80"/>
      <c r="H17" s="80"/>
      <c r="I17" s="80"/>
      <c r="J17" s="8">
        <f>SUM(D17:I17)</f>
        <v>700000</v>
      </c>
      <c r="K17" s="8">
        <f>K16+J17</f>
        <v>3000000</v>
      </c>
    </row>
    <row r="18" spans="1:11" x14ac:dyDescent="0.25">
      <c r="A18" s="18"/>
      <c r="B18" s="16"/>
      <c r="C18" s="16"/>
      <c r="D18" s="16"/>
      <c r="E18" s="16"/>
      <c r="F18" s="8"/>
      <c r="G18" s="16"/>
      <c r="H18" s="16"/>
      <c r="I18" s="16"/>
      <c r="J18" s="8">
        <f>SUM(B18:I18)</f>
        <v>0</v>
      </c>
      <c r="K18" s="9">
        <f>K17+J18</f>
        <v>3000000</v>
      </c>
    </row>
    <row r="19" spans="1:11" ht="15.75" thickBot="1" x14ac:dyDescent="0.3">
      <c r="A19" s="270"/>
      <c r="B19" s="10"/>
      <c r="C19" s="10"/>
      <c r="D19" s="10"/>
      <c r="E19" s="10"/>
      <c r="F19" s="10"/>
      <c r="G19" s="3"/>
      <c r="H19" s="3"/>
      <c r="I19" s="3"/>
      <c r="J19" s="10">
        <f>SUM(B19:I19)</f>
        <v>0</v>
      </c>
      <c r="K19" s="11">
        <f>K18+J19</f>
        <v>3000000</v>
      </c>
    </row>
    <row r="20" spans="1:11" x14ac:dyDescent="0.25">
      <c r="A20" s="151" t="s">
        <v>74</v>
      </c>
      <c r="B20" s="80"/>
      <c r="C20" s="80"/>
      <c r="D20" s="80"/>
      <c r="E20" s="80"/>
      <c r="F20" s="80">
        <f>SUM(F15:F19)</f>
        <v>3000000</v>
      </c>
      <c r="G20" s="80"/>
      <c r="H20" s="80"/>
      <c r="I20" s="80"/>
      <c r="J20" s="81">
        <f>SUM(J18:J19)</f>
        <v>0</v>
      </c>
      <c r="K20" s="82">
        <f>SUM(K19)</f>
        <v>3000000</v>
      </c>
    </row>
    <row r="21" spans="1:11" x14ac:dyDescent="0.25">
      <c r="A21" s="1"/>
      <c r="B21" s="217"/>
      <c r="C21" s="8"/>
      <c r="D21" s="8"/>
      <c r="E21" s="16"/>
      <c r="F21" s="8"/>
      <c r="G21" s="8"/>
      <c r="H21" s="8"/>
      <c r="I21" s="8"/>
      <c r="J21" s="8">
        <f>SUM(F21:I21)</f>
        <v>0</v>
      </c>
      <c r="K21" s="9"/>
    </row>
    <row r="22" spans="1:11" ht="15.75" thickBot="1" x14ac:dyDescent="0.3">
      <c r="A22" s="355"/>
      <c r="B22" s="282"/>
      <c r="C22" s="64"/>
      <c r="D22" s="64"/>
      <c r="E22" s="64"/>
      <c r="F22" s="64"/>
      <c r="G22" s="64"/>
      <c r="H22" s="64"/>
      <c r="I22" s="64"/>
      <c r="J22" s="64">
        <f>SUM(F22:I22)</f>
        <v>0</v>
      </c>
      <c r="K22" s="65"/>
    </row>
    <row r="23" spans="1:11" ht="15.75" thickBot="1" x14ac:dyDescent="0.3">
      <c r="A23" s="164" t="s">
        <v>0</v>
      </c>
      <c r="B23" s="83"/>
      <c r="C23" s="83"/>
      <c r="D23" s="332">
        <v>0</v>
      </c>
      <c r="E23" s="41"/>
      <c r="F23" s="333"/>
      <c r="G23" s="83">
        <v>0</v>
      </c>
      <c r="H23" s="83">
        <v>0</v>
      </c>
      <c r="I23" s="83">
        <v>0</v>
      </c>
      <c r="J23" s="83"/>
      <c r="K23" s="149">
        <f>+K22</f>
        <v>0</v>
      </c>
    </row>
    <row r="24" spans="1:11" x14ac:dyDescent="0.25">
      <c r="A24" t="s">
        <v>5</v>
      </c>
    </row>
    <row r="25" spans="1:11" ht="24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327">
        <f>+F7-F20</f>
        <v>0</v>
      </c>
      <c r="G26" s="327">
        <f t="shared" ref="G26:K26" si="1">+G7-G20</f>
        <v>0</v>
      </c>
      <c r="H26" s="327">
        <f t="shared" si="1"/>
        <v>0</v>
      </c>
      <c r="I26" s="327">
        <f t="shared" si="1"/>
        <v>0</v>
      </c>
      <c r="J26" s="327"/>
      <c r="K26" s="327">
        <f t="shared" si="1"/>
        <v>0</v>
      </c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16"/>
  <sheetViews>
    <sheetView view="pageLayout" topLeftCell="A196" zoomScaleNormal="100" workbookViewId="0">
      <selection activeCell="H207" sqref="H207"/>
    </sheetView>
  </sheetViews>
  <sheetFormatPr baseColWidth="10" defaultColWidth="11.42578125" defaultRowHeight="15" x14ac:dyDescent="0.25"/>
  <cols>
    <col min="1" max="1" width="12.7109375" customWidth="1"/>
    <col min="2" max="2" width="10.140625" customWidth="1"/>
    <col min="3" max="3" width="13.42578125" customWidth="1"/>
    <col min="4" max="4" width="11.7109375" customWidth="1"/>
    <col min="5" max="5" width="12.28515625" customWidth="1"/>
    <col min="6" max="6" width="13" customWidth="1"/>
    <col min="7" max="7" width="11.7109375" customWidth="1"/>
    <col min="8" max="8" width="8.7109375" customWidth="1"/>
    <col min="9" max="9" width="11" customWidth="1"/>
    <col min="10" max="10" width="12.42578125" customWidth="1"/>
    <col min="11" max="11" width="13.85546875" customWidth="1"/>
    <col min="12" max="12" width="13.28515625" customWidth="1"/>
    <col min="13" max="13" width="13" customWidth="1"/>
  </cols>
  <sheetData>
    <row r="1" spans="1:11" x14ac:dyDescent="0.25">
      <c r="A1" t="s">
        <v>9</v>
      </c>
      <c r="E1" t="s">
        <v>52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6100</v>
      </c>
      <c r="I3" t="s">
        <v>15</v>
      </c>
    </row>
    <row r="4" spans="1:11" x14ac:dyDescent="0.25">
      <c r="E4" t="s">
        <v>6</v>
      </c>
      <c r="F4" s="13" t="s">
        <v>7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5">
        <v>1</v>
      </c>
      <c r="D6" s="45">
        <v>2</v>
      </c>
      <c r="E6" s="45">
        <v>3</v>
      </c>
      <c r="F6" s="45">
        <v>4</v>
      </c>
      <c r="G6" s="45">
        <v>5</v>
      </c>
      <c r="H6" s="41">
        <v>6</v>
      </c>
      <c r="I6" s="41">
        <v>7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101"/>
      <c r="C7" s="102">
        <v>21972000</v>
      </c>
      <c r="D7" s="102">
        <v>854000</v>
      </c>
      <c r="E7" s="102">
        <v>1000000</v>
      </c>
      <c r="F7" s="102">
        <v>800000</v>
      </c>
      <c r="G7" s="102">
        <v>300000</v>
      </c>
      <c r="H7" s="102"/>
      <c r="I7" s="102">
        <v>200000</v>
      </c>
      <c r="J7" s="103">
        <f>SUM(B7:I7)</f>
        <v>25126000</v>
      </c>
      <c r="K7" s="104">
        <f>J7</f>
        <v>25126000</v>
      </c>
    </row>
    <row r="8" spans="1:11" ht="39" x14ac:dyDescent="0.25">
      <c r="A8" s="31" t="s">
        <v>19</v>
      </c>
      <c r="B8" s="143"/>
      <c r="C8" s="111"/>
      <c r="D8" s="112"/>
      <c r="E8" s="111"/>
      <c r="F8" s="111"/>
      <c r="G8" s="111"/>
      <c r="H8" s="111"/>
      <c r="I8" s="111"/>
      <c r="J8" s="112">
        <f>SUM(B8:I8)</f>
        <v>0</v>
      </c>
      <c r="K8" s="107"/>
    </row>
    <row r="9" spans="1:11" x14ac:dyDescent="0.25">
      <c r="A9" s="32" t="s">
        <v>2</v>
      </c>
      <c r="B9" s="144"/>
      <c r="C9" s="113"/>
      <c r="D9" s="113"/>
      <c r="E9" s="113"/>
      <c r="F9" s="113"/>
      <c r="G9" s="113"/>
      <c r="H9" s="113"/>
      <c r="I9" s="113"/>
      <c r="J9" s="113">
        <v>0</v>
      </c>
      <c r="K9" s="107">
        <f>K8+J9</f>
        <v>0</v>
      </c>
    </row>
    <row r="10" spans="1:11" x14ac:dyDescent="0.25">
      <c r="A10" s="32" t="s">
        <v>3</v>
      </c>
      <c r="B10" s="144"/>
      <c r="C10" s="113"/>
      <c r="D10" s="113"/>
      <c r="E10" s="113"/>
      <c r="F10" s="113"/>
      <c r="G10" s="113"/>
      <c r="H10" s="113"/>
      <c r="I10" s="113"/>
      <c r="J10" s="113">
        <v>0</v>
      </c>
      <c r="K10" s="107">
        <f>K9+J10</f>
        <v>0</v>
      </c>
    </row>
    <row r="11" spans="1:11" ht="27" thickBot="1" x14ac:dyDescent="0.3">
      <c r="A11" s="33" t="s">
        <v>20</v>
      </c>
      <c r="B11" s="105">
        <f t="shared" ref="B11:J11" si="0">SUM(B7:B10)</f>
        <v>0</v>
      </c>
      <c r="C11" s="106">
        <f t="shared" si="0"/>
        <v>21972000</v>
      </c>
      <c r="D11" s="106">
        <f t="shared" si="0"/>
        <v>854000</v>
      </c>
      <c r="E11" s="106">
        <f t="shared" si="0"/>
        <v>1000000</v>
      </c>
      <c r="F11" s="106">
        <f t="shared" si="0"/>
        <v>800000</v>
      </c>
      <c r="G11" s="106">
        <f t="shared" si="0"/>
        <v>300000</v>
      </c>
      <c r="H11" s="106">
        <f t="shared" si="0"/>
        <v>0</v>
      </c>
      <c r="I11" s="106">
        <f t="shared" si="0"/>
        <v>200000</v>
      </c>
      <c r="J11" s="106">
        <f t="shared" si="0"/>
        <v>25126000</v>
      </c>
      <c r="K11" s="107">
        <f>K10+J11</f>
        <v>25126000</v>
      </c>
    </row>
    <row r="12" spans="1:11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1" ht="15.75" thickBot="1" x14ac:dyDescent="0.3">
      <c r="A13" s="90" t="s">
        <v>90</v>
      </c>
      <c r="B13" s="59"/>
      <c r="C13" s="421">
        <v>90708</v>
      </c>
      <c r="D13" s="59"/>
      <c r="E13" s="59"/>
      <c r="F13" s="59"/>
      <c r="G13" s="59"/>
      <c r="H13" s="59"/>
      <c r="I13" s="59"/>
      <c r="J13" s="59">
        <f>SUM(C13:I13)</f>
        <v>90708</v>
      </c>
      <c r="K13" s="115">
        <f>+J13</f>
        <v>90708</v>
      </c>
    </row>
    <row r="14" spans="1:11" x14ac:dyDescent="0.25">
      <c r="A14" s="158" t="s">
        <v>91</v>
      </c>
      <c r="B14" s="98"/>
      <c r="C14" s="418">
        <v>90708</v>
      </c>
      <c r="D14" s="16"/>
      <c r="E14" s="16"/>
      <c r="F14" s="8"/>
      <c r="G14" s="16"/>
      <c r="H14" s="16"/>
      <c r="I14" s="16"/>
      <c r="J14" s="8">
        <f t="shared" ref="J14:J22" si="1">SUM(C14:I14)</f>
        <v>90708</v>
      </c>
      <c r="K14" s="122">
        <f>+K13+J14</f>
        <v>181416</v>
      </c>
    </row>
    <row r="15" spans="1:11" x14ac:dyDescent="0.25">
      <c r="A15" s="99" t="s">
        <v>92</v>
      </c>
      <c r="B15" s="81"/>
      <c r="C15" s="424">
        <v>90708</v>
      </c>
      <c r="D15" s="80"/>
      <c r="E15" s="80"/>
      <c r="F15" s="80"/>
      <c r="G15" s="80"/>
      <c r="H15" s="80"/>
      <c r="I15" s="80"/>
      <c r="J15" s="8">
        <f t="shared" si="1"/>
        <v>90708</v>
      </c>
      <c r="K15" s="82">
        <f>+K14+J15</f>
        <v>272124</v>
      </c>
    </row>
    <row r="16" spans="1:11" x14ac:dyDescent="0.25">
      <c r="A16" s="99" t="s">
        <v>82</v>
      </c>
      <c r="B16" s="81"/>
      <c r="C16" s="418">
        <v>362832</v>
      </c>
      <c r="D16" s="80"/>
      <c r="E16" s="80"/>
      <c r="F16" s="80"/>
      <c r="G16" s="80"/>
      <c r="H16" s="80"/>
      <c r="I16" s="80"/>
      <c r="J16" s="81">
        <f t="shared" si="1"/>
        <v>362832</v>
      </c>
      <c r="K16" s="82">
        <f t="shared" ref="K16:K23" si="2">+K15+J16</f>
        <v>634956</v>
      </c>
    </row>
    <row r="17" spans="1:13" x14ac:dyDescent="0.25">
      <c r="A17" s="99" t="s">
        <v>88</v>
      </c>
      <c r="B17" s="81"/>
      <c r="C17" s="424">
        <v>7819</v>
      </c>
      <c r="D17" s="81"/>
      <c r="E17" s="81"/>
      <c r="F17" s="81"/>
      <c r="G17" s="81"/>
      <c r="H17" s="81"/>
      <c r="I17" s="81"/>
      <c r="J17" s="8">
        <f t="shared" si="1"/>
        <v>7819</v>
      </c>
      <c r="K17" s="9">
        <f t="shared" si="2"/>
        <v>642775</v>
      </c>
    </row>
    <row r="18" spans="1:13" x14ac:dyDescent="0.25">
      <c r="A18" s="85" t="s">
        <v>106</v>
      </c>
      <c r="B18" s="8"/>
      <c r="C18" s="418">
        <v>32865</v>
      </c>
      <c r="D18" s="8"/>
      <c r="E18" s="16"/>
      <c r="F18" s="16"/>
      <c r="G18" s="16"/>
      <c r="H18" s="16"/>
      <c r="I18" s="16"/>
      <c r="J18" s="8">
        <f t="shared" si="1"/>
        <v>32865</v>
      </c>
      <c r="K18" s="9">
        <f t="shared" si="2"/>
        <v>675640</v>
      </c>
      <c r="M18" s="72"/>
    </row>
    <row r="19" spans="1:13" x14ac:dyDescent="0.25">
      <c r="A19" s="85" t="s">
        <v>111</v>
      </c>
      <c r="B19" s="8"/>
      <c r="C19" s="8"/>
      <c r="D19" s="418">
        <v>75705</v>
      </c>
      <c r="E19" s="8"/>
      <c r="F19" s="16"/>
      <c r="G19" s="16"/>
      <c r="H19" s="16"/>
      <c r="I19" s="16"/>
      <c r="J19" s="8">
        <f t="shared" si="1"/>
        <v>75705</v>
      </c>
      <c r="K19" s="9">
        <f t="shared" si="2"/>
        <v>751345</v>
      </c>
    </row>
    <row r="20" spans="1:13" x14ac:dyDescent="0.25">
      <c r="A20" s="99" t="s">
        <v>149</v>
      </c>
      <c r="B20" s="81"/>
      <c r="C20" s="424">
        <v>90708</v>
      </c>
      <c r="D20" s="81"/>
      <c r="E20" s="16"/>
      <c r="F20" s="80"/>
      <c r="G20" s="80"/>
      <c r="H20" s="80"/>
      <c r="I20" s="80"/>
      <c r="J20" s="8">
        <f t="shared" si="1"/>
        <v>90708</v>
      </c>
      <c r="K20" s="9">
        <f t="shared" si="2"/>
        <v>842053</v>
      </c>
    </row>
    <row r="21" spans="1:13" x14ac:dyDescent="0.25">
      <c r="A21" s="86" t="s">
        <v>150</v>
      </c>
      <c r="B21" s="64"/>
      <c r="C21" s="417">
        <v>90708</v>
      </c>
      <c r="D21" s="64"/>
      <c r="E21" s="70"/>
      <c r="F21" s="64"/>
      <c r="G21" s="64"/>
      <c r="H21" s="64"/>
      <c r="I21" s="64"/>
      <c r="J21" s="64">
        <f t="shared" si="1"/>
        <v>90708</v>
      </c>
      <c r="K21" s="65">
        <f t="shared" si="2"/>
        <v>932761</v>
      </c>
    </row>
    <row r="22" spans="1:13" x14ac:dyDescent="0.25">
      <c r="A22" s="108" t="s">
        <v>151</v>
      </c>
      <c r="B22" s="8"/>
      <c r="C22" s="418">
        <v>90708</v>
      </c>
      <c r="D22" s="8"/>
      <c r="E22" s="16"/>
      <c r="F22" s="8"/>
      <c r="G22" s="8"/>
      <c r="H22" s="8"/>
      <c r="I22" s="8"/>
      <c r="J22" s="8">
        <f t="shared" si="1"/>
        <v>90708</v>
      </c>
      <c r="K22" s="65">
        <f t="shared" si="2"/>
        <v>1023469</v>
      </c>
    </row>
    <row r="23" spans="1:13" ht="15.75" thickBot="1" x14ac:dyDescent="0.3">
      <c r="A23" s="409" t="s">
        <v>127</v>
      </c>
      <c r="B23" s="116"/>
      <c r="C23" s="426">
        <v>362832</v>
      </c>
      <c r="D23" s="116"/>
      <c r="E23" s="15"/>
      <c r="F23" s="15"/>
      <c r="G23" s="15"/>
      <c r="H23" s="15"/>
      <c r="I23" s="15"/>
      <c r="J23" s="116">
        <f>SUM(C23:I23)</f>
        <v>362832</v>
      </c>
      <c r="K23" s="65">
        <f t="shared" si="2"/>
        <v>1386301</v>
      </c>
    </row>
    <row r="24" spans="1:13" ht="15.75" thickBot="1" x14ac:dyDescent="0.3">
      <c r="A24" s="36" t="s">
        <v>0</v>
      </c>
      <c r="B24" s="15">
        <v>0</v>
      </c>
      <c r="C24" s="15">
        <f>SUM(C13:C23)</f>
        <v>1310596</v>
      </c>
      <c r="D24" s="15">
        <f t="shared" ref="D24:J24" si="3">SUM(D13:D23)</f>
        <v>75705</v>
      </c>
      <c r="E24" s="15">
        <f t="shared" si="3"/>
        <v>0</v>
      </c>
      <c r="F24" s="15">
        <f t="shared" si="3"/>
        <v>0</v>
      </c>
      <c r="G24" s="15">
        <f t="shared" si="3"/>
        <v>0</v>
      </c>
      <c r="H24" s="15">
        <f t="shared" si="3"/>
        <v>0</v>
      </c>
      <c r="I24" s="15">
        <f t="shared" si="3"/>
        <v>0</v>
      </c>
      <c r="J24" s="15">
        <f t="shared" si="3"/>
        <v>1386301</v>
      </c>
      <c r="K24" s="14">
        <f>K23</f>
        <v>1386301</v>
      </c>
    </row>
    <row r="25" spans="1:13" ht="25.5" customHeight="1" x14ac:dyDescent="0.25">
      <c r="A25" t="s">
        <v>5</v>
      </c>
    </row>
    <row r="28" spans="1:13" x14ac:dyDescent="0.25">
      <c r="A28" t="s">
        <v>9</v>
      </c>
      <c r="E28" t="s">
        <v>50</v>
      </c>
      <c r="I28" t="s">
        <v>45</v>
      </c>
    </row>
    <row r="29" spans="1:13" x14ac:dyDescent="0.25">
      <c r="A29" t="s">
        <v>44</v>
      </c>
    </row>
    <row r="30" spans="1:13" x14ac:dyDescent="0.25">
      <c r="E30" t="s">
        <v>13</v>
      </c>
      <c r="F30" s="13">
        <v>6100</v>
      </c>
      <c r="I30" t="s">
        <v>75</v>
      </c>
    </row>
    <row r="31" spans="1:13" x14ac:dyDescent="0.25">
      <c r="E31" t="s">
        <v>6</v>
      </c>
      <c r="F31" s="13" t="s">
        <v>7</v>
      </c>
    </row>
    <row r="32" spans="1:13" ht="15.75" thickBot="1" x14ac:dyDescent="0.3"/>
    <row r="33" spans="1:11" ht="30.75" thickBot="1" x14ac:dyDescent="0.3">
      <c r="A33" s="75" t="s">
        <v>42</v>
      </c>
      <c r="B33" s="4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6</v>
      </c>
      <c r="I33" s="45">
        <v>7</v>
      </c>
      <c r="J33" s="51" t="s">
        <v>16</v>
      </c>
      <c r="K33" s="40" t="s">
        <v>17</v>
      </c>
    </row>
    <row r="34" spans="1:11" x14ac:dyDescent="0.25">
      <c r="A34" s="76" t="s">
        <v>43</v>
      </c>
      <c r="B34" s="35"/>
      <c r="C34" s="35">
        <f>+C24</f>
        <v>1310596</v>
      </c>
      <c r="D34" s="35">
        <f t="shared" ref="D34:K34" si="4">+D24</f>
        <v>75705</v>
      </c>
      <c r="E34" s="35">
        <f t="shared" si="4"/>
        <v>0</v>
      </c>
      <c r="F34" s="35">
        <f t="shared" si="4"/>
        <v>0</v>
      </c>
      <c r="G34" s="35">
        <f t="shared" si="4"/>
        <v>0</v>
      </c>
      <c r="H34" s="35">
        <f t="shared" si="4"/>
        <v>0</v>
      </c>
      <c r="I34" s="35">
        <f t="shared" si="4"/>
        <v>0</v>
      </c>
      <c r="J34" s="35">
        <f t="shared" si="4"/>
        <v>1386301</v>
      </c>
      <c r="K34" s="12">
        <f t="shared" si="4"/>
        <v>1386301</v>
      </c>
    </row>
    <row r="35" spans="1:11" x14ac:dyDescent="0.25">
      <c r="A35" s="411" t="s">
        <v>135</v>
      </c>
      <c r="B35" s="81"/>
      <c r="C35" s="424">
        <v>7819</v>
      </c>
      <c r="D35" s="81"/>
      <c r="E35" s="81"/>
      <c r="F35" s="81"/>
      <c r="G35" s="81"/>
      <c r="H35" s="81"/>
      <c r="I35" s="81"/>
      <c r="J35" s="78">
        <f>SUM(C35:I35)</f>
        <v>7819</v>
      </c>
      <c r="K35" s="82">
        <f>K34+J35</f>
        <v>1394120</v>
      </c>
    </row>
    <row r="36" spans="1:11" x14ac:dyDescent="0.25">
      <c r="A36" s="61" t="s">
        <v>139</v>
      </c>
      <c r="B36" s="8"/>
      <c r="C36" s="418">
        <v>32865</v>
      </c>
      <c r="D36" s="16"/>
      <c r="E36" s="16"/>
      <c r="F36" s="16"/>
      <c r="G36" s="16"/>
      <c r="H36" s="16"/>
      <c r="I36" s="16"/>
      <c r="J36" s="162">
        <f>SUM(C36:I36)</f>
        <v>32865</v>
      </c>
      <c r="K36" s="82">
        <f>K35+J36</f>
        <v>1426985</v>
      </c>
    </row>
    <row r="37" spans="1:11" ht="15.75" thickBot="1" x14ac:dyDescent="0.3">
      <c r="A37" s="138" t="s">
        <v>142</v>
      </c>
      <c r="B37" s="10"/>
      <c r="C37" s="10"/>
      <c r="D37" s="425">
        <v>75705</v>
      </c>
      <c r="E37" s="3"/>
      <c r="F37" s="3"/>
      <c r="G37" s="3"/>
      <c r="H37" s="3"/>
      <c r="I37" s="3"/>
      <c r="J37" s="242">
        <f>SUM(C37:I37)</f>
        <v>75705</v>
      </c>
      <c r="K37" s="225">
        <f>+K36+J37</f>
        <v>1502690</v>
      </c>
    </row>
    <row r="38" spans="1:11" x14ac:dyDescent="0.25">
      <c r="A38" s="79" t="s">
        <v>51</v>
      </c>
      <c r="B38" s="80"/>
      <c r="C38" s="80">
        <f>SUM(C34:C37)</f>
        <v>1351280</v>
      </c>
      <c r="D38" s="80">
        <f t="shared" ref="D38:J38" si="5">SUM(D34:D37)</f>
        <v>151410</v>
      </c>
      <c r="E38" s="80">
        <f t="shared" si="5"/>
        <v>0</v>
      </c>
      <c r="F38" s="80">
        <f t="shared" si="5"/>
        <v>0</v>
      </c>
      <c r="G38" s="80">
        <f t="shared" si="5"/>
        <v>0</v>
      </c>
      <c r="H38" s="80">
        <f t="shared" si="5"/>
        <v>0</v>
      </c>
      <c r="I38" s="80">
        <f t="shared" si="5"/>
        <v>0</v>
      </c>
      <c r="J38" s="80">
        <f t="shared" si="5"/>
        <v>1502690</v>
      </c>
      <c r="K38" s="82">
        <f>+K37</f>
        <v>1502690</v>
      </c>
    </row>
    <row r="39" spans="1:11" x14ac:dyDescent="0.25">
      <c r="A39" s="145" t="s">
        <v>201</v>
      </c>
      <c r="B39" s="81"/>
      <c r="C39" s="81">
        <v>90708</v>
      </c>
      <c r="D39" s="81"/>
      <c r="E39" s="81"/>
      <c r="F39" s="81"/>
      <c r="G39" s="271"/>
      <c r="H39" s="81"/>
      <c r="I39" s="8"/>
      <c r="J39" s="234">
        <f t="shared" ref="J39:J55" si="6">SUM(C39:I39)</f>
        <v>90708</v>
      </c>
      <c r="K39" s="9">
        <f t="shared" ref="K39:K47" si="7">+K38+J39</f>
        <v>1593398</v>
      </c>
    </row>
    <row r="40" spans="1:11" x14ac:dyDescent="0.25">
      <c r="A40" s="62" t="s">
        <v>202</v>
      </c>
      <c r="B40" s="8"/>
      <c r="C40" s="8">
        <v>90708</v>
      </c>
      <c r="D40" s="16"/>
      <c r="E40" s="163"/>
      <c r="F40" s="16"/>
      <c r="G40" s="16"/>
      <c r="H40" s="16"/>
      <c r="I40" s="16"/>
      <c r="J40" s="234">
        <f t="shared" si="6"/>
        <v>90708</v>
      </c>
      <c r="K40" s="9">
        <f t="shared" si="7"/>
        <v>1684106</v>
      </c>
    </row>
    <row r="41" spans="1:11" x14ac:dyDescent="0.25">
      <c r="A41" s="62" t="s">
        <v>203</v>
      </c>
      <c r="B41" s="8"/>
      <c r="C41" s="8">
        <v>90708</v>
      </c>
      <c r="D41" s="16"/>
      <c r="E41" s="16"/>
      <c r="F41" s="163"/>
      <c r="G41" s="16"/>
      <c r="H41" s="16"/>
      <c r="I41" s="16"/>
      <c r="J41" s="234">
        <f t="shared" si="6"/>
        <v>90708</v>
      </c>
      <c r="K41" s="9">
        <f t="shared" si="7"/>
        <v>1774814</v>
      </c>
    </row>
    <row r="42" spans="1:11" x14ac:dyDescent="0.25">
      <c r="A42" s="62" t="s">
        <v>204</v>
      </c>
      <c r="B42" s="8"/>
      <c r="C42" s="8">
        <v>90708</v>
      </c>
      <c r="D42" s="16"/>
      <c r="E42" s="163"/>
      <c r="F42" s="16"/>
      <c r="G42" s="16"/>
      <c r="H42" s="16"/>
      <c r="I42" s="16"/>
      <c r="J42" s="234">
        <f t="shared" si="6"/>
        <v>90708</v>
      </c>
      <c r="K42" s="9">
        <f t="shared" si="7"/>
        <v>1865522</v>
      </c>
    </row>
    <row r="43" spans="1:11" x14ac:dyDescent="0.25">
      <c r="A43" s="183" t="s">
        <v>205</v>
      </c>
      <c r="B43" s="184"/>
      <c r="C43" s="176">
        <v>90708</v>
      </c>
      <c r="D43" s="185"/>
      <c r="E43" s="176"/>
      <c r="F43" s="176"/>
      <c r="G43" s="176"/>
      <c r="H43" s="185"/>
      <c r="I43" s="185"/>
      <c r="J43" s="234">
        <f t="shared" si="6"/>
        <v>90708</v>
      </c>
      <c r="K43" s="9">
        <f t="shared" si="7"/>
        <v>1956230</v>
      </c>
    </row>
    <row r="44" spans="1:11" x14ac:dyDescent="0.25">
      <c r="A44" s="183" t="s">
        <v>206</v>
      </c>
      <c r="B44" s="184"/>
      <c r="C44" s="176">
        <v>90708</v>
      </c>
      <c r="D44" s="185"/>
      <c r="E44" s="176"/>
      <c r="F44" s="176"/>
      <c r="G44" s="176"/>
      <c r="H44" s="185"/>
      <c r="I44" s="185"/>
      <c r="J44" s="234">
        <f t="shared" si="6"/>
        <v>90708</v>
      </c>
      <c r="K44" s="9">
        <f t="shared" si="7"/>
        <v>2046938</v>
      </c>
    </row>
    <row r="45" spans="1:11" x14ac:dyDescent="0.25">
      <c r="A45" s="229" t="s">
        <v>216</v>
      </c>
      <c r="B45" s="244"/>
      <c r="C45" s="231">
        <v>6702</v>
      </c>
      <c r="D45" s="231"/>
      <c r="E45" s="231"/>
      <c r="F45" s="231"/>
      <c r="G45" s="231"/>
      <c r="H45" s="231"/>
      <c r="I45" s="231"/>
      <c r="J45" s="334">
        <f t="shared" si="6"/>
        <v>6702</v>
      </c>
      <c r="K45" s="9">
        <f t="shared" si="7"/>
        <v>2053640</v>
      </c>
    </row>
    <row r="46" spans="1:11" x14ac:dyDescent="0.25">
      <c r="A46" s="183" t="s">
        <v>222</v>
      </c>
      <c r="B46" s="184"/>
      <c r="C46" s="176">
        <v>28170</v>
      </c>
      <c r="D46" s="185"/>
      <c r="E46" s="176"/>
      <c r="F46" s="176"/>
      <c r="G46" s="176"/>
      <c r="H46" s="185"/>
      <c r="I46" s="185"/>
      <c r="J46" s="234">
        <f t="shared" si="6"/>
        <v>28170</v>
      </c>
      <c r="K46" s="9">
        <f t="shared" si="7"/>
        <v>2081810</v>
      </c>
    </row>
    <row r="47" spans="1:11" ht="15.75" thickBot="1" x14ac:dyDescent="0.3">
      <c r="A47" s="222" t="s">
        <v>228</v>
      </c>
      <c r="B47" s="238"/>
      <c r="C47" s="194"/>
      <c r="D47" s="194">
        <v>64890</v>
      </c>
      <c r="E47" s="194"/>
      <c r="F47" s="194"/>
      <c r="G47" s="194"/>
      <c r="H47" s="194"/>
      <c r="I47" s="194"/>
      <c r="J47" s="242">
        <f t="shared" si="6"/>
        <v>64890</v>
      </c>
      <c r="K47" s="11">
        <f t="shared" si="7"/>
        <v>2146700</v>
      </c>
    </row>
    <row r="48" spans="1:11" x14ac:dyDescent="0.25">
      <c r="A48" s="229" t="s">
        <v>370</v>
      </c>
      <c r="B48" s="466"/>
      <c r="C48" s="231">
        <f>SUM(C38:C47)</f>
        <v>1930400</v>
      </c>
      <c r="D48" s="231">
        <f t="shared" ref="D48:I48" si="8">SUM(D38:D47)</f>
        <v>216300</v>
      </c>
      <c r="E48" s="231">
        <f t="shared" si="8"/>
        <v>0</v>
      </c>
      <c r="F48" s="318">
        <f t="shared" si="8"/>
        <v>0</v>
      </c>
      <c r="G48" s="318">
        <f t="shared" si="8"/>
        <v>0</v>
      </c>
      <c r="H48" s="318">
        <f t="shared" si="8"/>
        <v>0</v>
      </c>
      <c r="I48" s="318">
        <f t="shared" si="8"/>
        <v>0</v>
      </c>
      <c r="J48" s="241">
        <f>SUM(J39:J47)</f>
        <v>644010</v>
      </c>
      <c r="K48" s="82">
        <f>+K47</f>
        <v>2146700</v>
      </c>
    </row>
    <row r="49" spans="1:11" x14ac:dyDescent="0.25">
      <c r="A49" s="145" t="s">
        <v>256</v>
      </c>
      <c r="B49" s="243"/>
      <c r="C49" s="81">
        <v>90708</v>
      </c>
      <c r="D49" s="81"/>
      <c r="E49" s="81"/>
      <c r="F49" s="81"/>
      <c r="G49" s="81"/>
      <c r="H49" s="81"/>
      <c r="I49" s="81"/>
      <c r="J49" s="234">
        <f t="shared" si="6"/>
        <v>90708</v>
      </c>
      <c r="K49" s="9">
        <f>K48+J49</f>
        <v>2237408</v>
      </c>
    </row>
    <row r="50" spans="1:11" x14ac:dyDescent="0.25">
      <c r="A50" s="62" t="s">
        <v>257</v>
      </c>
      <c r="B50" s="178"/>
      <c r="C50" s="8">
        <v>90708</v>
      </c>
      <c r="D50" s="16"/>
      <c r="E50" s="8"/>
      <c r="F50" s="16"/>
      <c r="G50" s="16"/>
      <c r="H50" s="16"/>
      <c r="I50" s="16"/>
      <c r="J50" s="234">
        <f t="shared" si="6"/>
        <v>90708</v>
      </c>
      <c r="K50" s="9">
        <f t="shared" ref="K50:K55" si="9">K49+J50</f>
        <v>2328116</v>
      </c>
    </row>
    <row r="51" spans="1:11" x14ac:dyDescent="0.25">
      <c r="A51" s="62" t="s">
        <v>258</v>
      </c>
      <c r="B51" s="178"/>
      <c r="C51" s="8">
        <v>90708</v>
      </c>
      <c r="D51" s="8"/>
      <c r="E51" s="8"/>
      <c r="F51" s="8"/>
      <c r="G51" s="8"/>
      <c r="H51" s="8"/>
      <c r="I51" s="8"/>
      <c r="J51" s="234">
        <f t="shared" si="6"/>
        <v>90708</v>
      </c>
      <c r="K51" s="9">
        <f t="shared" si="9"/>
        <v>2418824</v>
      </c>
    </row>
    <row r="52" spans="1:11" x14ac:dyDescent="0.25">
      <c r="A52" s="145" t="s">
        <v>259</v>
      </c>
      <c r="B52" s="181"/>
      <c r="C52" s="81">
        <v>90708</v>
      </c>
      <c r="D52" s="80"/>
      <c r="E52" s="80"/>
      <c r="F52" s="80"/>
      <c r="G52" s="80"/>
      <c r="H52" s="80"/>
      <c r="I52" s="80"/>
      <c r="J52" s="234">
        <f t="shared" si="6"/>
        <v>90708</v>
      </c>
      <c r="K52" s="9">
        <f t="shared" si="9"/>
        <v>2509532</v>
      </c>
    </row>
    <row r="53" spans="1:11" x14ac:dyDescent="0.25">
      <c r="A53" s="145" t="s">
        <v>260</v>
      </c>
      <c r="B53" s="178"/>
      <c r="C53" s="81">
        <v>90708</v>
      </c>
      <c r="D53" s="81"/>
      <c r="E53" s="81"/>
      <c r="F53" s="81"/>
      <c r="G53" s="81"/>
      <c r="H53" s="81"/>
      <c r="I53" s="81"/>
      <c r="J53" s="234">
        <f t="shared" si="6"/>
        <v>90708</v>
      </c>
      <c r="K53" s="9">
        <f t="shared" si="9"/>
        <v>2600240</v>
      </c>
    </row>
    <row r="54" spans="1:11" x14ac:dyDescent="0.25">
      <c r="A54" s="62" t="s">
        <v>261</v>
      </c>
      <c r="B54" s="178"/>
      <c r="C54" s="8">
        <v>90708</v>
      </c>
      <c r="D54" s="8"/>
      <c r="E54" s="8"/>
      <c r="F54" s="8"/>
      <c r="G54" s="8"/>
      <c r="H54" s="8"/>
      <c r="I54" s="8"/>
      <c r="J54" s="234">
        <f t="shared" si="6"/>
        <v>90708</v>
      </c>
      <c r="K54" s="9">
        <f t="shared" si="9"/>
        <v>2690948</v>
      </c>
    </row>
    <row r="55" spans="1:11" ht="15.75" thickBot="1" x14ac:dyDescent="0.3">
      <c r="A55" s="73" t="s">
        <v>286</v>
      </c>
      <c r="B55" s="182"/>
      <c r="C55" s="10">
        <v>6702</v>
      </c>
      <c r="D55" s="3"/>
      <c r="E55" s="3"/>
      <c r="F55" s="3"/>
      <c r="G55" s="3"/>
      <c r="H55" s="3"/>
      <c r="I55" s="3"/>
      <c r="J55" s="242">
        <f t="shared" si="6"/>
        <v>6702</v>
      </c>
      <c r="K55" s="9">
        <f t="shared" si="9"/>
        <v>2697650</v>
      </c>
    </row>
    <row r="56" spans="1:11" ht="15.75" thickBot="1" x14ac:dyDescent="0.3">
      <c r="A56" s="36" t="s">
        <v>61</v>
      </c>
      <c r="B56" s="15"/>
      <c r="C56" s="15">
        <f t="shared" ref="C56:I56" si="10">SUM(C48:C55)</f>
        <v>2481350</v>
      </c>
      <c r="D56" s="15">
        <f t="shared" si="10"/>
        <v>216300</v>
      </c>
      <c r="E56" s="83">
        <f t="shared" si="10"/>
        <v>0</v>
      </c>
      <c r="F56" s="15">
        <f t="shared" si="10"/>
        <v>0</v>
      </c>
      <c r="G56" s="15">
        <f t="shared" si="10"/>
        <v>0</v>
      </c>
      <c r="H56" s="15">
        <f t="shared" si="10"/>
        <v>0</v>
      </c>
      <c r="I56" s="15">
        <f t="shared" si="10"/>
        <v>0</v>
      </c>
      <c r="J56" s="15">
        <f>SUM(J49:J55)</f>
        <v>550950</v>
      </c>
      <c r="K56" s="14">
        <f>+K55</f>
        <v>2697650</v>
      </c>
    </row>
    <row r="57" spans="1:11" x14ac:dyDescent="0.25">
      <c r="A57" t="s">
        <v>5</v>
      </c>
    </row>
    <row r="60" spans="1:11" x14ac:dyDescent="0.25">
      <c r="A60" t="s">
        <v>9</v>
      </c>
      <c r="E60" t="s">
        <v>50</v>
      </c>
      <c r="I60" t="s">
        <v>45</v>
      </c>
    </row>
    <row r="61" spans="1:11" x14ac:dyDescent="0.25">
      <c r="A61" t="s">
        <v>44</v>
      </c>
    </row>
    <row r="62" spans="1:11" x14ac:dyDescent="0.25">
      <c r="E62" t="s">
        <v>13</v>
      </c>
      <c r="F62" s="13">
        <v>6100</v>
      </c>
      <c r="I62" t="s">
        <v>75</v>
      </c>
    </row>
    <row r="63" spans="1:11" x14ac:dyDescent="0.25">
      <c r="E63" t="s">
        <v>6</v>
      </c>
      <c r="F63" s="13" t="s">
        <v>7</v>
      </c>
    </row>
    <row r="64" spans="1:11" ht="15.75" thickBot="1" x14ac:dyDescent="0.3"/>
    <row r="65" spans="1:11" ht="30.75" thickBot="1" x14ac:dyDescent="0.3">
      <c r="A65" s="75" t="s">
        <v>42</v>
      </c>
      <c r="B65" s="4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>
        <v>6</v>
      </c>
      <c r="I65" s="45">
        <v>7</v>
      </c>
      <c r="J65" s="51" t="s">
        <v>16</v>
      </c>
      <c r="K65" s="40" t="s">
        <v>17</v>
      </c>
    </row>
    <row r="66" spans="1:11" x14ac:dyDescent="0.25">
      <c r="A66" s="76" t="s">
        <v>43</v>
      </c>
      <c r="B66" s="276"/>
      <c r="C66" s="35">
        <f t="shared" ref="C66:K66" si="11">+C56</f>
        <v>2481350</v>
      </c>
      <c r="D66" s="35">
        <f t="shared" si="11"/>
        <v>216300</v>
      </c>
      <c r="E66" s="35">
        <f t="shared" si="11"/>
        <v>0</v>
      </c>
      <c r="F66" s="35">
        <f t="shared" si="11"/>
        <v>0</v>
      </c>
      <c r="G66" s="35">
        <f t="shared" si="11"/>
        <v>0</v>
      </c>
      <c r="H66" s="35">
        <f t="shared" si="11"/>
        <v>0</v>
      </c>
      <c r="I66" s="35">
        <f t="shared" si="11"/>
        <v>0</v>
      </c>
      <c r="J66" s="35">
        <f t="shared" si="11"/>
        <v>550950</v>
      </c>
      <c r="K66" s="35">
        <f t="shared" si="11"/>
        <v>2697650</v>
      </c>
    </row>
    <row r="67" spans="1:11" x14ac:dyDescent="0.25">
      <c r="A67" s="61" t="s">
        <v>292</v>
      </c>
      <c r="B67" s="178"/>
      <c r="C67" s="8">
        <v>28170</v>
      </c>
      <c r="D67" s="8"/>
      <c r="E67" s="16"/>
      <c r="F67" s="16"/>
      <c r="G67" s="16"/>
      <c r="H67" s="16"/>
      <c r="I67" s="16"/>
      <c r="J67" s="233">
        <f>SUM(C67:I67)</f>
        <v>28170</v>
      </c>
      <c r="K67" s="9">
        <f>K66+J67</f>
        <v>2725820</v>
      </c>
    </row>
    <row r="68" spans="1:11" ht="15.75" thickBot="1" x14ac:dyDescent="0.3">
      <c r="A68" s="222" t="s">
        <v>298</v>
      </c>
      <c r="B68" s="238"/>
      <c r="C68" s="194"/>
      <c r="D68" s="199">
        <v>64890</v>
      </c>
      <c r="E68" s="199"/>
      <c r="F68" s="199"/>
      <c r="G68" s="199"/>
      <c r="H68" s="199"/>
      <c r="I68" s="199"/>
      <c r="J68" s="239">
        <f>SUM(C68:I68)</f>
        <v>64890</v>
      </c>
      <c r="K68" s="11">
        <f>K67+J68</f>
        <v>2790710</v>
      </c>
    </row>
    <row r="69" spans="1:11" x14ac:dyDescent="0.25">
      <c r="A69" s="79" t="s">
        <v>59</v>
      </c>
      <c r="B69" s="181"/>
      <c r="C69" s="80">
        <f>SUM(C66:C68)</f>
        <v>2509520</v>
      </c>
      <c r="D69" s="80">
        <f t="shared" ref="D69:I69" si="12">SUM(D66:D68)</f>
        <v>281190</v>
      </c>
      <c r="E69" s="80">
        <f t="shared" si="12"/>
        <v>0</v>
      </c>
      <c r="F69" s="80">
        <f t="shared" si="12"/>
        <v>0</v>
      </c>
      <c r="G69" s="80">
        <f t="shared" si="12"/>
        <v>0</v>
      </c>
      <c r="H69" s="80">
        <f t="shared" si="12"/>
        <v>0</v>
      </c>
      <c r="I69" s="80">
        <f t="shared" si="12"/>
        <v>0</v>
      </c>
      <c r="J69" s="294">
        <f>SUM(J66:J68)</f>
        <v>644010</v>
      </c>
      <c r="K69" s="82">
        <f>K68</f>
        <v>2790710</v>
      </c>
    </row>
    <row r="70" spans="1:11" x14ac:dyDescent="0.25">
      <c r="A70" s="256" t="s">
        <v>327</v>
      </c>
      <c r="B70" s="235"/>
      <c r="C70" s="258">
        <v>90708</v>
      </c>
      <c r="D70" s="258"/>
      <c r="E70" s="258"/>
      <c r="F70" s="258"/>
      <c r="G70" s="258"/>
      <c r="H70" s="258"/>
      <c r="I70" s="203"/>
      <c r="J70" s="280">
        <f>SUM(C70:I70)</f>
        <v>90708</v>
      </c>
      <c r="K70" s="9">
        <f t="shared" ref="K70:K76" si="13">+K69+J70</f>
        <v>2881418</v>
      </c>
    </row>
    <row r="71" spans="1:11" x14ac:dyDescent="0.25">
      <c r="A71" s="227" t="s">
        <v>328</v>
      </c>
      <c r="B71" s="235"/>
      <c r="C71" s="203">
        <v>90708</v>
      </c>
      <c r="D71" s="223"/>
      <c r="E71" s="203"/>
      <c r="F71" s="223"/>
      <c r="G71" s="223"/>
      <c r="H71" s="223"/>
      <c r="I71" s="223"/>
      <c r="J71" s="280">
        <f t="shared" ref="J71:J76" si="14">SUM(C71:I71)</f>
        <v>90708</v>
      </c>
      <c r="K71" s="9">
        <f t="shared" si="13"/>
        <v>2972126</v>
      </c>
    </row>
    <row r="72" spans="1:11" x14ac:dyDescent="0.25">
      <c r="A72" s="62" t="s">
        <v>329</v>
      </c>
      <c r="B72" s="178"/>
      <c r="C72" s="8">
        <v>90708</v>
      </c>
      <c r="D72" s="16"/>
      <c r="E72" s="16"/>
      <c r="F72" s="8"/>
      <c r="G72" s="16"/>
      <c r="H72" s="16"/>
      <c r="I72" s="16"/>
      <c r="J72" s="280">
        <f t="shared" si="14"/>
        <v>90708</v>
      </c>
      <c r="K72" s="9">
        <f t="shared" si="13"/>
        <v>3062834</v>
      </c>
    </row>
    <row r="73" spans="1:11" x14ac:dyDescent="0.25">
      <c r="A73" s="62" t="s">
        <v>330</v>
      </c>
      <c r="B73" s="178"/>
      <c r="C73" s="8">
        <v>90708</v>
      </c>
      <c r="D73" s="16"/>
      <c r="E73" s="8"/>
      <c r="F73" s="16"/>
      <c r="G73" s="16"/>
      <c r="H73" s="16"/>
      <c r="I73" s="16"/>
      <c r="J73" s="280">
        <f t="shared" si="14"/>
        <v>90708</v>
      </c>
      <c r="K73" s="9">
        <f t="shared" si="13"/>
        <v>3153542</v>
      </c>
    </row>
    <row r="74" spans="1:11" x14ac:dyDescent="0.25">
      <c r="A74" s="62" t="s">
        <v>355</v>
      </c>
      <c r="B74" s="278"/>
      <c r="C74" s="217">
        <v>4468</v>
      </c>
      <c r="D74" s="16"/>
      <c r="E74" s="176"/>
      <c r="F74" s="176"/>
      <c r="G74" s="176"/>
      <c r="H74" s="185"/>
      <c r="I74" s="185"/>
      <c r="J74" s="280">
        <f t="shared" si="14"/>
        <v>4468</v>
      </c>
      <c r="K74" s="9">
        <f t="shared" si="13"/>
        <v>3158010</v>
      </c>
    </row>
    <row r="75" spans="1:11" x14ac:dyDescent="0.25">
      <c r="A75" s="62" t="s">
        <v>361</v>
      </c>
      <c r="B75" s="184"/>
      <c r="C75" s="176">
        <v>18780</v>
      </c>
      <c r="D75" s="185"/>
      <c r="E75" s="8"/>
      <c r="F75" s="176"/>
      <c r="G75" s="176"/>
      <c r="H75" s="185"/>
      <c r="I75" s="185"/>
      <c r="J75" s="280">
        <f t="shared" si="14"/>
        <v>18780</v>
      </c>
      <c r="K75" s="9">
        <f t="shared" si="13"/>
        <v>3176790</v>
      </c>
    </row>
    <row r="76" spans="1:11" ht="15.75" thickBot="1" x14ac:dyDescent="0.3">
      <c r="A76" s="73" t="s">
        <v>367</v>
      </c>
      <c r="B76" s="300"/>
      <c r="C76" s="215"/>
      <c r="D76" s="10">
        <v>43260</v>
      </c>
      <c r="E76" s="215"/>
      <c r="F76" s="194"/>
      <c r="G76" s="194"/>
      <c r="H76" s="199"/>
      <c r="I76" s="199"/>
      <c r="J76" s="489">
        <f t="shared" si="14"/>
        <v>43260</v>
      </c>
      <c r="K76" s="11">
        <f t="shared" si="13"/>
        <v>3220050</v>
      </c>
    </row>
    <row r="77" spans="1:11" x14ac:dyDescent="0.25">
      <c r="A77" s="79" t="s">
        <v>60</v>
      </c>
      <c r="B77" s="181"/>
      <c r="C77" s="80">
        <f>SUM(C69:C76)</f>
        <v>2895600</v>
      </c>
      <c r="D77" s="80">
        <f t="shared" ref="D77:I77" si="15">SUM(D69:D76)</f>
        <v>324450</v>
      </c>
      <c r="E77" s="80">
        <f t="shared" si="15"/>
        <v>0</v>
      </c>
      <c r="F77" s="35">
        <f t="shared" si="15"/>
        <v>0</v>
      </c>
      <c r="G77" s="35">
        <f t="shared" si="15"/>
        <v>0</v>
      </c>
      <c r="H77" s="80">
        <f t="shared" si="15"/>
        <v>0</v>
      </c>
      <c r="I77" s="80">
        <f t="shared" si="15"/>
        <v>0</v>
      </c>
      <c r="J77" s="490">
        <f>SUM(J70:J76)</f>
        <v>429340</v>
      </c>
      <c r="K77" s="12">
        <f>+K76</f>
        <v>3220050</v>
      </c>
    </row>
    <row r="78" spans="1:11" x14ac:dyDescent="0.25">
      <c r="A78" s="227" t="s">
        <v>410</v>
      </c>
      <c r="B78" s="235"/>
      <c r="C78" s="203">
        <v>90708</v>
      </c>
      <c r="D78" s="176"/>
      <c r="E78" s="176"/>
      <c r="F78" s="176"/>
      <c r="G78" s="176"/>
      <c r="H78" s="176"/>
      <c r="I78" s="176"/>
      <c r="J78" s="236">
        <f>SUM(C78:I78)</f>
        <v>90708</v>
      </c>
      <c r="K78" s="9">
        <f>+K77+J78</f>
        <v>3310758</v>
      </c>
    </row>
    <row r="79" spans="1:11" x14ac:dyDescent="0.25">
      <c r="A79" s="226" t="s">
        <v>411</v>
      </c>
      <c r="B79" s="243"/>
      <c r="C79" s="78">
        <v>90708</v>
      </c>
      <c r="D79" s="78"/>
      <c r="E79" s="78"/>
      <c r="F79" s="81"/>
      <c r="G79" s="8"/>
      <c r="H79" s="8"/>
      <c r="I79" s="78"/>
      <c r="J79" s="236">
        <f t="shared" ref="J79:J88" si="16">SUM(C79:I79)</f>
        <v>90708</v>
      </c>
      <c r="K79" s="9">
        <f t="shared" ref="K79:K88" si="17">+K78+J79</f>
        <v>3401466</v>
      </c>
    </row>
    <row r="80" spans="1:11" x14ac:dyDescent="0.25">
      <c r="A80" s="62" t="s">
        <v>412</v>
      </c>
      <c r="B80" s="178"/>
      <c r="C80" s="8">
        <v>90708</v>
      </c>
      <c r="D80" s="8"/>
      <c r="E80" s="8"/>
      <c r="F80" s="8"/>
      <c r="G80" s="8"/>
      <c r="H80" s="8"/>
      <c r="I80" s="8"/>
      <c r="J80" s="236">
        <f t="shared" si="16"/>
        <v>90708</v>
      </c>
      <c r="K80" s="9">
        <f t="shared" si="17"/>
        <v>3492174</v>
      </c>
    </row>
    <row r="81" spans="1:11" x14ac:dyDescent="0.25">
      <c r="A81" s="145" t="s">
        <v>413</v>
      </c>
      <c r="B81" s="243"/>
      <c r="C81" s="81">
        <v>90708</v>
      </c>
      <c r="D81" s="81"/>
      <c r="E81" s="80"/>
      <c r="F81" s="80"/>
      <c r="G81" s="80"/>
      <c r="H81" s="80"/>
      <c r="I81" s="80"/>
      <c r="J81" s="236">
        <f t="shared" si="16"/>
        <v>90708</v>
      </c>
      <c r="K81" s="9">
        <f t="shared" si="17"/>
        <v>3582882</v>
      </c>
    </row>
    <row r="82" spans="1:11" x14ac:dyDescent="0.25">
      <c r="A82" s="62" t="s">
        <v>423</v>
      </c>
      <c r="B82" s="178"/>
      <c r="C82" s="8">
        <v>4468</v>
      </c>
      <c r="D82" s="8"/>
      <c r="E82" s="8"/>
      <c r="F82" s="16"/>
      <c r="G82" s="16"/>
      <c r="H82" s="16"/>
      <c r="I82" s="16"/>
      <c r="J82" s="236">
        <f t="shared" si="16"/>
        <v>4468</v>
      </c>
      <c r="K82" s="9">
        <f t="shared" si="17"/>
        <v>3587350</v>
      </c>
    </row>
    <row r="83" spans="1:11" x14ac:dyDescent="0.25">
      <c r="A83" s="62" t="s">
        <v>429</v>
      </c>
      <c r="B83" s="178"/>
      <c r="C83" s="8">
        <v>18780</v>
      </c>
      <c r="D83" s="8"/>
      <c r="E83" s="8"/>
      <c r="F83" s="8"/>
      <c r="G83" s="8"/>
      <c r="H83" s="8"/>
      <c r="I83" s="8"/>
      <c r="J83" s="236">
        <f t="shared" si="16"/>
        <v>18780</v>
      </c>
      <c r="K83" s="9">
        <f t="shared" si="17"/>
        <v>3606130</v>
      </c>
    </row>
    <row r="84" spans="1:11" ht="15.75" thickBot="1" x14ac:dyDescent="0.3">
      <c r="A84" s="73" t="s">
        <v>435</v>
      </c>
      <c r="B84" s="182"/>
      <c r="C84" s="10"/>
      <c r="D84" s="10">
        <v>43260</v>
      </c>
      <c r="E84" s="3"/>
      <c r="F84" s="3"/>
      <c r="G84" s="3"/>
      <c r="H84" s="3"/>
      <c r="I84" s="3"/>
      <c r="J84" s="489">
        <f t="shared" si="16"/>
        <v>43260</v>
      </c>
      <c r="K84" s="11">
        <f t="shared" si="17"/>
        <v>3649390</v>
      </c>
    </row>
    <row r="85" spans="1:11" x14ac:dyDescent="0.25">
      <c r="A85" s="79" t="s">
        <v>64</v>
      </c>
      <c r="B85" s="181"/>
      <c r="C85" s="80">
        <f>SUM(C77:C84)</f>
        <v>3281680</v>
      </c>
      <c r="D85" s="80">
        <f t="shared" ref="D85:I85" si="18">SUM(D77:D84)</f>
        <v>367710</v>
      </c>
      <c r="E85" s="80">
        <f t="shared" si="18"/>
        <v>0</v>
      </c>
      <c r="F85" s="80">
        <f t="shared" si="18"/>
        <v>0</v>
      </c>
      <c r="G85" s="80">
        <f t="shared" si="18"/>
        <v>0</v>
      </c>
      <c r="H85" s="80">
        <f t="shared" si="18"/>
        <v>0</v>
      </c>
      <c r="I85" s="80">
        <f t="shared" si="18"/>
        <v>0</v>
      </c>
      <c r="J85" s="245">
        <f>SUM(J78:J84)</f>
        <v>429340</v>
      </c>
      <c r="K85" s="82">
        <f>+K84</f>
        <v>3649390</v>
      </c>
    </row>
    <row r="86" spans="1:11" x14ac:dyDescent="0.25">
      <c r="A86" s="145" t="s">
        <v>477</v>
      </c>
      <c r="B86" s="178"/>
      <c r="C86" s="81">
        <v>90708</v>
      </c>
      <c r="D86" s="81"/>
      <c r="E86" s="81"/>
      <c r="F86" s="81"/>
      <c r="G86" s="81"/>
      <c r="H86" s="81"/>
      <c r="I86" s="81"/>
      <c r="J86" s="236">
        <f t="shared" si="16"/>
        <v>90708</v>
      </c>
      <c r="K86" s="9">
        <f>+K84+J86</f>
        <v>3740098</v>
      </c>
    </row>
    <row r="87" spans="1:11" x14ac:dyDescent="0.25">
      <c r="A87" s="62" t="s">
        <v>478</v>
      </c>
      <c r="B87" s="178"/>
      <c r="C87" s="8">
        <v>90708</v>
      </c>
      <c r="D87" s="8"/>
      <c r="E87" s="8"/>
      <c r="F87" s="8"/>
      <c r="G87" s="8"/>
      <c r="H87" s="8"/>
      <c r="I87" s="8"/>
      <c r="J87" s="236">
        <f t="shared" si="16"/>
        <v>90708</v>
      </c>
      <c r="K87" s="9">
        <f t="shared" si="17"/>
        <v>3830806</v>
      </c>
    </row>
    <row r="88" spans="1:11" ht="15.75" thickBot="1" x14ac:dyDescent="0.3">
      <c r="A88" s="226" t="s">
        <v>479</v>
      </c>
      <c r="B88" s="345"/>
      <c r="C88" s="78">
        <v>90708</v>
      </c>
      <c r="D88" s="78"/>
      <c r="E88" s="3"/>
      <c r="F88" s="124"/>
      <c r="G88" s="124"/>
      <c r="H88" s="124"/>
      <c r="I88" s="124"/>
      <c r="J88" s="280">
        <f t="shared" si="16"/>
        <v>90708</v>
      </c>
      <c r="K88" s="65">
        <f t="shared" si="17"/>
        <v>3921514</v>
      </c>
    </row>
    <row r="89" spans="1:11" ht="15.75" thickBot="1" x14ac:dyDescent="0.3">
      <c r="A89" s="164" t="s">
        <v>61</v>
      </c>
      <c r="B89" s="83"/>
      <c r="C89" s="83">
        <f t="shared" ref="C89:H89" si="19">SUM(C85:C88)</f>
        <v>3553804</v>
      </c>
      <c r="D89" s="83">
        <f t="shared" si="19"/>
        <v>367710</v>
      </c>
      <c r="E89" s="83">
        <f t="shared" si="19"/>
        <v>0</v>
      </c>
      <c r="F89" s="83">
        <f t="shared" si="19"/>
        <v>0</v>
      </c>
      <c r="G89" s="83">
        <f t="shared" si="19"/>
        <v>0</v>
      </c>
      <c r="H89" s="83">
        <f t="shared" si="19"/>
        <v>0</v>
      </c>
      <c r="I89" s="83">
        <f>SUM(I77:I88)</f>
        <v>0</v>
      </c>
      <c r="J89" s="83">
        <f>SUM(J86:J88)</f>
        <v>272124</v>
      </c>
      <c r="K89" s="149">
        <f>K88</f>
        <v>3921514</v>
      </c>
    </row>
    <row r="90" spans="1:11" x14ac:dyDescent="0.25">
      <c r="A90" t="s">
        <v>5</v>
      </c>
    </row>
    <row r="94" spans="1:11" x14ac:dyDescent="0.25">
      <c r="A94" t="s">
        <v>9</v>
      </c>
      <c r="E94" t="s">
        <v>50</v>
      </c>
      <c r="I94" t="s">
        <v>45</v>
      </c>
    </row>
    <row r="95" spans="1:11" x14ac:dyDescent="0.25">
      <c r="A95" t="s">
        <v>44</v>
      </c>
    </row>
    <row r="96" spans="1:11" x14ac:dyDescent="0.25">
      <c r="E96" t="s">
        <v>13</v>
      </c>
      <c r="F96" s="13">
        <v>6100</v>
      </c>
      <c r="I96" t="s">
        <v>75</v>
      </c>
    </row>
    <row r="97" spans="1:11" x14ac:dyDescent="0.25">
      <c r="E97" t="s">
        <v>6</v>
      </c>
      <c r="F97" s="13" t="s">
        <v>7</v>
      </c>
    </row>
    <row r="98" spans="1:11" ht="15.75" thickBot="1" x14ac:dyDescent="0.3"/>
    <row r="99" spans="1:11" ht="30.75" thickBot="1" x14ac:dyDescent="0.3">
      <c r="A99" s="75" t="s">
        <v>42</v>
      </c>
      <c r="B99" s="45"/>
      <c r="C99" s="45">
        <v>1</v>
      </c>
      <c r="D99" s="45">
        <v>2</v>
      </c>
      <c r="E99" s="45">
        <v>3</v>
      </c>
      <c r="F99" s="45">
        <v>4</v>
      </c>
      <c r="G99" s="45">
        <v>5</v>
      </c>
      <c r="H99" s="45">
        <v>6</v>
      </c>
      <c r="I99" s="45">
        <v>7</v>
      </c>
      <c r="J99" s="51" t="s">
        <v>16</v>
      </c>
      <c r="K99" s="40" t="s">
        <v>17</v>
      </c>
    </row>
    <row r="100" spans="1:11" x14ac:dyDescent="0.25">
      <c r="A100" s="76" t="s">
        <v>43</v>
      </c>
      <c r="B100" s="276"/>
      <c r="C100" s="35">
        <f>+C89</f>
        <v>3553804</v>
      </c>
      <c r="D100" s="35">
        <f t="shared" ref="D100:K100" si="20">+D89</f>
        <v>367710</v>
      </c>
      <c r="E100" s="35">
        <f t="shared" si="20"/>
        <v>0</v>
      </c>
      <c r="F100" s="35">
        <f t="shared" si="20"/>
        <v>0</v>
      </c>
      <c r="G100" s="35">
        <f t="shared" si="20"/>
        <v>0</v>
      </c>
      <c r="H100" s="35">
        <f t="shared" si="20"/>
        <v>0</v>
      </c>
      <c r="I100" s="35">
        <f t="shared" si="20"/>
        <v>0</v>
      </c>
      <c r="J100" s="35">
        <f t="shared" si="20"/>
        <v>272124</v>
      </c>
      <c r="K100" s="35">
        <f t="shared" si="20"/>
        <v>3921514</v>
      </c>
    </row>
    <row r="101" spans="1:11" x14ac:dyDescent="0.25">
      <c r="A101" s="61" t="s">
        <v>480</v>
      </c>
      <c r="B101" s="178"/>
      <c r="C101" s="8">
        <v>90708</v>
      </c>
      <c r="D101" s="8"/>
      <c r="E101" s="16"/>
      <c r="F101" s="16"/>
      <c r="G101" s="16"/>
      <c r="H101" s="16"/>
      <c r="I101" s="16"/>
      <c r="J101" s="233">
        <f t="shared" ref="J101:J117" si="21">SUM(C101:I101)</f>
        <v>90708</v>
      </c>
      <c r="K101" s="9">
        <f t="shared" ref="K101:K106" si="22">+K100+J101</f>
        <v>4012222</v>
      </c>
    </row>
    <row r="102" spans="1:11" x14ac:dyDescent="0.25">
      <c r="A102" s="62" t="s">
        <v>488</v>
      </c>
      <c r="B102" s="278"/>
      <c r="C102" s="217">
        <v>4468</v>
      </c>
      <c r="D102" s="16"/>
      <c r="E102" s="16"/>
      <c r="F102" s="16"/>
      <c r="G102" s="16"/>
      <c r="H102" s="16"/>
      <c r="I102" s="16"/>
      <c r="J102" s="313">
        <f t="shared" si="21"/>
        <v>4468</v>
      </c>
      <c r="K102" s="9">
        <f t="shared" si="22"/>
        <v>4016690</v>
      </c>
    </row>
    <row r="103" spans="1:11" x14ac:dyDescent="0.25">
      <c r="A103" s="62" t="s">
        <v>494</v>
      </c>
      <c r="B103" s="278"/>
      <c r="C103" s="217">
        <v>18780</v>
      </c>
      <c r="D103" s="176"/>
      <c r="E103" s="185"/>
      <c r="F103" s="185"/>
      <c r="G103" s="185"/>
      <c r="H103" s="185"/>
      <c r="I103" s="185"/>
      <c r="J103" s="313">
        <f t="shared" si="21"/>
        <v>18780</v>
      </c>
      <c r="K103" s="9">
        <f t="shared" si="22"/>
        <v>4035470</v>
      </c>
    </row>
    <row r="104" spans="1:11" x14ac:dyDescent="0.25">
      <c r="A104" s="256" t="s">
        <v>500</v>
      </c>
      <c r="B104" s="235"/>
      <c r="C104" s="258"/>
      <c r="D104" s="258">
        <v>43260</v>
      </c>
      <c r="E104" s="258"/>
      <c r="F104" s="258"/>
      <c r="G104" s="258"/>
      <c r="H104" s="258"/>
      <c r="I104" s="203"/>
      <c r="J104" s="313">
        <f t="shared" si="21"/>
        <v>43260</v>
      </c>
      <c r="K104" s="9">
        <f t="shared" si="22"/>
        <v>4078730</v>
      </c>
    </row>
    <row r="105" spans="1:11" x14ac:dyDescent="0.25">
      <c r="A105" s="227" t="s">
        <v>521</v>
      </c>
      <c r="B105" s="235"/>
      <c r="C105" s="203"/>
      <c r="D105" s="223"/>
      <c r="E105" s="203">
        <v>95200</v>
      </c>
      <c r="F105" s="223"/>
      <c r="G105" s="223"/>
      <c r="H105" s="223"/>
      <c r="I105" s="223"/>
      <c r="J105" s="280">
        <f t="shared" si="21"/>
        <v>95200</v>
      </c>
      <c r="K105" s="9">
        <f t="shared" si="22"/>
        <v>4173930</v>
      </c>
    </row>
    <row r="106" spans="1:11" ht="15.75" thickBot="1" x14ac:dyDescent="0.3">
      <c r="A106" s="73" t="s">
        <v>527</v>
      </c>
      <c r="B106" s="182"/>
      <c r="C106" s="10"/>
      <c r="D106" s="10"/>
      <c r="E106" s="10">
        <v>95200</v>
      </c>
      <c r="F106" s="10"/>
      <c r="G106" s="10"/>
      <c r="H106" s="10"/>
      <c r="I106" s="10"/>
      <c r="J106" s="489">
        <f t="shared" si="21"/>
        <v>95200</v>
      </c>
      <c r="K106" s="11">
        <f t="shared" si="22"/>
        <v>4269130</v>
      </c>
    </row>
    <row r="107" spans="1:11" x14ac:dyDescent="0.25">
      <c r="A107" s="79" t="s">
        <v>65</v>
      </c>
      <c r="B107" s="181"/>
      <c r="C107" s="80">
        <f>SUM(C100:C106)</f>
        <v>3667760</v>
      </c>
      <c r="D107" s="80">
        <f t="shared" ref="D107:I107" si="23">SUM(D100:D106)</f>
        <v>410970</v>
      </c>
      <c r="E107" s="80">
        <f t="shared" si="23"/>
        <v>190400</v>
      </c>
      <c r="F107" s="80">
        <f t="shared" si="23"/>
        <v>0</v>
      </c>
      <c r="G107" s="80">
        <f t="shared" si="23"/>
        <v>0</v>
      </c>
      <c r="H107" s="80">
        <f t="shared" si="23"/>
        <v>0</v>
      </c>
      <c r="I107" s="80">
        <f t="shared" si="23"/>
        <v>0</v>
      </c>
      <c r="J107" s="471">
        <f>SUM(J100:J106)</f>
        <v>619740</v>
      </c>
      <c r="K107" s="82">
        <f>+K106</f>
        <v>4269130</v>
      </c>
    </row>
    <row r="108" spans="1:11" x14ac:dyDescent="0.25">
      <c r="A108" s="62" t="s">
        <v>538</v>
      </c>
      <c r="B108" s="178"/>
      <c r="C108" s="8"/>
      <c r="D108" s="16"/>
      <c r="E108" s="8"/>
      <c r="F108" s="16"/>
      <c r="G108" s="8">
        <v>300000</v>
      </c>
      <c r="H108" s="16"/>
      <c r="I108" s="16"/>
      <c r="J108" s="280">
        <f t="shared" si="21"/>
        <v>300000</v>
      </c>
      <c r="K108" s="9">
        <f>+K107+J108</f>
        <v>4569130</v>
      </c>
    </row>
    <row r="109" spans="1:11" x14ac:dyDescent="0.25">
      <c r="A109" s="69" t="s">
        <v>558</v>
      </c>
      <c r="B109" s="316"/>
      <c r="C109" s="282"/>
      <c r="D109" s="70"/>
      <c r="E109" s="175"/>
      <c r="F109" s="338">
        <v>450000</v>
      </c>
      <c r="G109" s="175"/>
      <c r="H109" s="317"/>
      <c r="I109" s="317"/>
      <c r="J109" s="280">
        <f t="shared" si="21"/>
        <v>450000</v>
      </c>
      <c r="K109" s="9">
        <f t="shared" ref="K109:K118" si="24">+K108+J109</f>
        <v>5019130</v>
      </c>
    </row>
    <row r="110" spans="1:11" x14ac:dyDescent="0.25">
      <c r="A110" s="200" t="s">
        <v>593</v>
      </c>
      <c r="B110" s="504"/>
      <c r="C110" s="8">
        <v>362832</v>
      </c>
      <c r="D110" s="16"/>
      <c r="E110" s="16"/>
      <c r="F110" s="16"/>
      <c r="G110" s="16"/>
      <c r="H110" s="16"/>
      <c r="I110" s="16"/>
      <c r="J110" s="280">
        <f t="shared" si="21"/>
        <v>362832</v>
      </c>
      <c r="K110" s="9">
        <f t="shared" si="24"/>
        <v>5381962</v>
      </c>
    </row>
    <row r="111" spans="1:11" x14ac:dyDescent="0.25">
      <c r="A111" s="145" t="s">
        <v>594</v>
      </c>
      <c r="B111" s="243"/>
      <c r="C111" s="81">
        <v>2160000</v>
      </c>
      <c r="D111" s="81"/>
      <c r="E111" s="81"/>
      <c r="F111" s="81"/>
      <c r="G111" s="81"/>
      <c r="H111" s="81"/>
      <c r="I111" s="81"/>
      <c r="J111" s="280">
        <f t="shared" si="21"/>
        <v>2160000</v>
      </c>
      <c r="K111" s="9">
        <f t="shared" si="24"/>
        <v>7541962</v>
      </c>
    </row>
    <row r="112" spans="1:11" x14ac:dyDescent="0.25">
      <c r="A112" s="227" t="s">
        <v>595</v>
      </c>
      <c r="B112" s="235"/>
      <c r="C112" s="203">
        <v>2160000</v>
      </c>
      <c r="D112" s="176"/>
      <c r="E112" s="176"/>
      <c r="F112" s="176"/>
      <c r="G112" s="203"/>
      <c r="H112" s="176"/>
      <c r="I112" s="176"/>
      <c r="J112" s="280">
        <f t="shared" si="21"/>
        <v>2160000</v>
      </c>
      <c r="K112" s="9">
        <f t="shared" si="24"/>
        <v>9701962</v>
      </c>
    </row>
    <row r="113" spans="1:11" x14ac:dyDescent="0.25">
      <c r="A113" s="226" t="s">
        <v>596</v>
      </c>
      <c r="B113" s="345"/>
      <c r="C113" s="78">
        <v>2160000</v>
      </c>
      <c r="D113" s="78"/>
      <c r="E113" s="78"/>
      <c r="F113" s="78"/>
      <c r="G113" s="64"/>
      <c r="H113" s="64"/>
      <c r="I113" s="78"/>
      <c r="J113" s="280">
        <f t="shared" si="21"/>
        <v>2160000</v>
      </c>
      <c r="K113" s="9">
        <f t="shared" si="24"/>
        <v>11861962</v>
      </c>
    </row>
    <row r="114" spans="1:11" x14ac:dyDescent="0.25">
      <c r="A114" s="200" t="s">
        <v>597</v>
      </c>
      <c r="B114" s="178"/>
      <c r="C114" s="8">
        <v>1440000</v>
      </c>
      <c r="D114" s="8"/>
      <c r="E114" s="8"/>
      <c r="F114" s="8"/>
      <c r="G114" s="8"/>
      <c r="H114" s="8"/>
      <c r="I114" s="8"/>
      <c r="J114" s="280">
        <f t="shared" si="21"/>
        <v>1440000</v>
      </c>
      <c r="K114" s="9">
        <f t="shared" si="24"/>
        <v>13301962</v>
      </c>
    </row>
    <row r="115" spans="1:11" x14ac:dyDescent="0.25">
      <c r="A115" s="200" t="s">
        <v>598</v>
      </c>
      <c r="B115" s="178"/>
      <c r="C115" s="8">
        <v>1440000</v>
      </c>
      <c r="D115" s="8"/>
      <c r="E115" s="8"/>
      <c r="F115" s="8"/>
      <c r="G115" s="8"/>
      <c r="H115" s="8"/>
      <c r="I115" s="8"/>
      <c r="J115" s="280">
        <f t="shared" si="21"/>
        <v>1440000</v>
      </c>
      <c r="K115" s="9">
        <f t="shared" si="24"/>
        <v>14741962</v>
      </c>
    </row>
    <row r="116" spans="1:11" x14ac:dyDescent="0.25">
      <c r="A116" s="200" t="s">
        <v>599</v>
      </c>
      <c r="B116" s="178"/>
      <c r="C116" s="8">
        <v>1200000</v>
      </c>
      <c r="D116" s="8"/>
      <c r="E116" s="8"/>
      <c r="F116" s="8"/>
      <c r="G116" s="8"/>
      <c r="H116" s="8"/>
      <c r="I116" s="8"/>
      <c r="J116" s="280">
        <f t="shared" si="21"/>
        <v>1200000</v>
      </c>
      <c r="K116" s="9">
        <f t="shared" si="24"/>
        <v>15941962</v>
      </c>
    </row>
    <row r="117" spans="1:11" x14ac:dyDescent="0.25">
      <c r="A117" s="200" t="s">
        <v>600</v>
      </c>
      <c r="B117" s="179"/>
      <c r="C117" s="64">
        <v>192000</v>
      </c>
      <c r="D117" s="64"/>
      <c r="E117" s="64"/>
      <c r="F117" s="64"/>
      <c r="G117" s="64"/>
      <c r="H117" s="64"/>
      <c r="I117" s="64"/>
      <c r="J117" s="280">
        <f t="shared" si="21"/>
        <v>192000</v>
      </c>
      <c r="K117" s="9">
        <f t="shared" si="24"/>
        <v>16133962</v>
      </c>
    </row>
    <row r="118" spans="1:11" ht="15.75" thickBot="1" x14ac:dyDescent="0.3">
      <c r="A118" s="200" t="s">
        <v>601</v>
      </c>
      <c r="B118" s="179"/>
      <c r="C118" s="64">
        <v>4468</v>
      </c>
      <c r="D118" s="64"/>
      <c r="E118" s="64"/>
      <c r="F118" s="64"/>
      <c r="G118" s="64"/>
      <c r="H118" s="64"/>
      <c r="I118" s="64"/>
      <c r="J118" s="280">
        <f>SUM(C118:I118)</f>
        <v>4468</v>
      </c>
      <c r="K118" s="9">
        <f t="shared" si="24"/>
        <v>16138430</v>
      </c>
    </row>
    <row r="119" spans="1:11" ht="24" customHeight="1" thickBot="1" x14ac:dyDescent="0.3">
      <c r="A119" s="319"/>
      <c r="B119" s="339" t="s">
        <v>61</v>
      </c>
      <c r="C119" s="83">
        <f>SUM(C107:C118)</f>
        <v>14787060</v>
      </c>
      <c r="D119" s="83">
        <f t="shared" ref="D119:I119" si="25">SUM(D107:D118)</f>
        <v>410970</v>
      </c>
      <c r="E119" s="83">
        <f t="shared" si="25"/>
        <v>190400</v>
      </c>
      <c r="F119" s="83">
        <f t="shared" si="25"/>
        <v>450000</v>
      </c>
      <c r="G119" s="83">
        <f t="shared" si="25"/>
        <v>300000</v>
      </c>
      <c r="H119" s="83">
        <f t="shared" si="25"/>
        <v>0</v>
      </c>
      <c r="I119" s="83">
        <f t="shared" si="25"/>
        <v>0</v>
      </c>
      <c r="J119" s="83">
        <f>SUM(J108:J118)</f>
        <v>11869300</v>
      </c>
      <c r="K119" s="149">
        <f>SUM(K118)</f>
        <v>16138430</v>
      </c>
    </row>
    <row r="120" spans="1:11" x14ac:dyDescent="0.25">
      <c r="A120" t="s">
        <v>5</v>
      </c>
    </row>
    <row r="122" spans="1:11" x14ac:dyDescent="0.25">
      <c r="A122" s="98"/>
      <c r="B122" s="98"/>
      <c r="C122" s="327">
        <f t="shared" ref="C122:I122" si="26">C11-C119</f>
        <v>7184940</v>
      </c>
      <c r="D122" s="327">
        <f t="shared" si="26"/>
        <v>443030</v>
      </c>
      <c r="E122" s="327">
        <f t="shared" si="26"/>
        <v>809600</v>
      </c>
      <c r="F122" s="327">
        <f t="shared" si="26"/>
        <v>350000</v>
      </c>
      <c r="G122" s="327">
        <f t="shared" si="26"/>
        <v>0</v>
      </c>
      <c r="H122" s="327">
        <f t="shared" si="26"/>
        <v>0</v>
      </c>
      <c r="I122" s="327">
        <f t="shared" si="26"/>
        <v>200000</v>
      </c>
      <c r="J122" s="98"/>
      <c r="K122" s="327">
        <f>SUM(C122:J122)</f>
        <v>8987570</v>
      </c>
    </row>
    <row r="123" spans="1:11" x14ac:dyDescent="0.25">
      <c r="A123" t="s">
        <v>9</v>
      </c>
      <c r="E123" t="s">
        <v>50</v>
      </c>
      <c r="I123" t="s">
        <v>45</v>
      </c>
    </row>
    <row r="124" spans="1:11" x14ac:dyDescent="0.25">
      <c r="A124" t="s">
        <v>44</v>
      </c>
    </row>
    <row r="125" spans="1:11" x14ac:dyDescent="0.25">
      <c r="E125" t="s">
        <v>13</v>
      </c>
      <c r="F125" s="13">
        <v>6100</v>
      </c>
      <c r="I125" t="s">
        <v>75</v>
      </c>
    </row>
    <row r="126" spans="1:11" x14ac:dyDescent="0.25">
      <c r="E126" t="s">
        <v>6</v>
      </c>
      <c r="F126" s="13" t="s">
        <v>7</v>
      </c>
    </row>
    <row r="127" spans="1:11" ht="15.75" thickBot="1" x14ac:dyDescent="0.3"/>
    <row r="128" spans="1:11" ht="30.75" thickBot="1" x14ac:dyDescent="0.3">
      <c r="A128" s="75" t="s">
        <v>42</v>
      </c>
      <c r="B128" s="45"/>
      <c r="C128" s="45">
        <v>1</v>
      </c>
      <c r="D128" s="45">
        <v>2</v>
      </c>
      <c r="E128" s="45">
        <v>3</v>
      </c>
      <c r="F128" s="45">
        <v>4</v>
      </c>
      <c r="G128" s="45">
        <v>5</v>
      </c>
      <c r="H128" s="45">
        <v>6</v>
      </c>
      <c r="I128" s="45">
        <v>7</v>
      </c>
      <c r="J128" s="51" t="s">
        <v>16</v>
      </c>
      <c r="K128" s="40" t="s">
        <v>17</v>
      </c>
    </row>
    <row r="129" spans="1:11" x14ac:dyDescent="0.25">
      <c r="A129" s="76" t="s">
        <v>43</v>
      </c>
      <c r="B129" s="276"/>
      <c r="C129" s="35">
        <f t="shared" ref="C129:K129" si="27">+C119</f>
        <v>14787060</v>
      </c>
      <c r="D129" s="35">
        <f t="shared" si="27"/>
        <v>410970</v>
      </c>
      <c r="E129" s="35">
        <f t="shared" si="27"/>
        <v>190400</v>
      </c>
      <c r="F129" s="35">
        <f t="shared" si="27"/>
        <v>450000</v>
      </c>
      <c r="G129" s="35">
        <f t="shared" si="27"/>
        <v>300000</v>
      </c>
      <c r="H129" s="35">
        <f t="shared" si="27"/>
        <v>0</v>
      </c>
      <c r="I129" s="35">
        <f t="shared" si="27"/>
        <v>0</v>
      </c>
      <c r="J129" s="35">
        <f t="shared" si="27"/>
        <v>11869300</v>
      </c>
      <c r="K129" s="35">
        <f t="shared" si="27"/>
        <v>16138430</v>
      </c>
    </row>
    <row r="130" spans="1:11" x14ac:dyDescent="0.25">
      <c r="A130" s="63" t="s">
        <v>604</v>
      </c>
      <c r="B130" s="316"/>
      <c r="C130" s="64">
        <v>18780</v>
      </c>
      <c r="D130" s="64"/>
      <c r="E130" s="70"/>
      <c r="F130" s="70"/>
      <c r="G130" s="64"/>
      <c r="H130" s="70"/>
      <c r="I130" s="70"/>
      <c r="J130" s="233">
        <f>SUM(C130:I130)</f>
        <v>18780</v>
      </c>
      <c r="K130" s="65">
        <f>+K129+J130</f>
        <v>16157210</v>
      </c>
    </row>
    <row r="131" spans="1:11" ht="15.75" thickBot="1" x14ac:dyDescent="0.3">
      <c r="A131" s="292" t="s">
        <v>605</v>
      </c>
      <c r="B131" s="513"/>
      <c r="C131" s="3"/>
      <c r="D131" s="10">
        <v>43260</v>
      </c>
      <c r="E131" s="3"/>
      <c r="F131" s="3"/>
      <c r="G131" s="3"/>
      <c r="H131" s="3"/>
      <c r="I131" s="3"/>
      <c r="J131" s="242">
        <f>SUM(C131:I131)</f>
        <v>43260</v>
      </c>
      <c r="K131" s="11">
        <f>+K130+J131</f>
        <v>16200470</v>
      </c>
    </row>
    <row r="132" spans="1:11" x14ac:dyDescent="0.25">
      <c r="A132" s="79" t="s">
        <v>66</v>
      </c>
      <c r="B132" s="181"/>
      <c r="C132" s="80">
        <f>SUM(C129:C131)</f>
        <v>14805840</v>
      </c>
      <c r="D132" s="80">
        <f t="shared" ref="D132:I132" si="28">SUM(D129:D131)</f>
        <v>454230</v>
      </c>
      <c r="E132" s="80">
        <f t="shared" si="28"/>
        <v>190400</v>
      </c>
      <c r="F132" s="80">
        <f t="shared" si="28"/>
        <v>450000</v>
      </c>
      <c r="G132" s="80">
        <f t="shared" si="28"/>
        <v>300000</v>
      </c>
      <c r="H132" s="80">
        <f t="shared" si="28"/>
        <v>0</v>
      </c>
      <c r="I132" s="80">
        <f t="shared" si="28"/>
        <v>0</v>
      </c>
      <c r="J132" s="245">
        <f>SUM(J129:J131)</f>
        <v>11931340</v>
      </c>
      <c r="K132" s="82">
        <f>+K131</f>
        <v>16200470</v>
      </c>
    </row>
    <row r="133" spans="1:11" x14ac:dyDescent="0.25">
      <c r="A133" s="145" t="s">
        <v>621</v>
      </c>
      <c r="B133" s="304"/>
      <c r="C133" s="216">
        <v>331162</v>
      </c>
      <c r="D133" s="80"/>
      <c r="E133" s="216"/>
      <c r="F133" s="177"/>
      <c r="G133" s="177"/>
      <c r="H133" s="318"/>
      <c r="I133" s="334"/>
      <c r="J133" s="236">
        <f>SUM(C133:I133)</f>
        <v>331162</v>
      </c>
      <c r="K133" s="100">
        <f>K132+J133</f>
        <v>16531632</v>
      </c>
    </row>
    <row r="134" spans="1:11" x14ac:dyDescent="0.25">
      <c r="A134" s="145" t="s">
        <v>654</v>
      </c>
      <c r="B134" s="304"/>
      <c r="C134" s="216">
        <v>8822</v>
      </c>
      <c r="D134" s="80"/>
      <c r="E134" s="216"/>
      <c r="F134" s="177"/>
      <c r="G134" s="177"/>
      <c r="H134" s="318"/>
      <c r="I134" s="334"/>
      <c r="J134" s="236">
        <f>SUM(C134:I134)</f>
        <v>8822</v>
      </c>
      <c r="K134" s="100">
        <f t="shared" ref="K134:K149" si="29">K133+J134</f>
        <v>16540454</v>
      </c>
    </row>
    <row r="135" spans="1:11" x14ac:dyDescent="0.25">
      <c r="A135" s="145" t="s">
        <v>655</v>
      </c>
      <c r="B135" s="304"/>
      <c r="C135" s="216">
        <v>89800</v>
      </c>
      <c r="D135" s="80"/>
      <c r="E135" s="216"/>
      <c r="F135" s="177"/>
      <c r="G135" s="177"/>
      <c r="H135" s="318"/>
      <c r="I135" s="334"/>
      <c r="J135" s="236">
        <f>SUM(C135:I135)</f>
        <v>89800</v>
      </c>
      <c r="K135" s="100">
        <f t="shared" si="29"/>
        <v>16630254</v>
      </c>
    </row>
    <row r="136" spans="1:11" x14ac:dyDescent="0.25">
      <c r="A136" s="200" t="s">
        <v>656</v>
      </c>
      <c r="B136" s="278"/>
      <c r="C136" s="217">
        <v>5386</v>
      </c>
      <c r="D136" s="16"/>
      <c r="E136" s="217"/>
      <c r="F136" s="176"/>
      <c r="G136" s="176"/>
      <c r="H136" s="185"/>
      <c r="I136" s="234"/>
      <c r="J136" s="236">
        <f>SUM(C136:I136)</f>
        <v>5386</v>
      </c>
      <c r="K136" s="100">
        <f t="shared" si="29"/>
        <v>16635640</v>
      </c>
    </row>
    <row r="137" spans="1:11" x14ac:dyDescent="0.25">
      <c r="A137" s="200" t="s">
        <v>657</v>
      </c>
      <c r="B137" s="278"/>
      <c r="C137" s="217">
        <v>1603</v>
      </c>
      <c r="D137" s="8"/>
      <c r="E137" s="217"/>
      <c r="F137" s="176"/>
      <c r="G137" s="176"/>
      <c r="H137" s="185"/>
      <c r="I137" s="234"/>
      <c r="J137" s="236">
        <f>SUM(C137:I137)</f>
        <v>1603</v>
      </c>
      <c r="K137" s="100">
        <f t="shared" si="29"/>
        <v>16637243</v>
      </c>
    </row>
    <row r="138" spans="1:11" x14ac:dyDescent="0.25">
      <c r="A138" s="200" t="s">
        <v>658</v>
      </c>
      <c r="B138" s="278"/>
      <c r="C138" s="217">
        <v>22628</v>
      </c>
      <c r="D138" s="16"/>
      <c r="E138" s="217"/>
      <c r="F138" s="176"/>
      <c r="G138" s="176"/>
      <c r="H138" s="185"/>
      <c r="I138" s="234"/>
      <c r="J138" s="236">
        <f t="shared" ref="J138:J150" si="30">SUM(C138:I138)</f>
        <v>22628</v>
      </c>
      <c r="K138" s="100">
        <f t="shared" si="29"/>
        <v>16659871</v>
      </c>
    </row>
    <row r="139" spans="1:11" x14ac:dyDescent="0.25">
      <c r="A139" s="200" t="s">
        <v>659</v>
      </c>
      <c r="B139" s="278"/>
      <c r="C139" s="217">
        <v>6739</v>
      </c>
      <c r="D139" s="16"/>
      <c r="E139" s="217"/>
      <c r="F139" s="176"/>
      <c r="G139" s="176"/>
      <c r="H139" s="185"/>
      <c r="I139" s="234"/>
      <c r="J139" s="236">
        <f t="shared" si="30"/>
        <v>6739</v>
      </c>
      <c r="K139" s="100">
        <f t="shared" si="29"/>
        <v>16666610</v>
      </c>
    </row>
    <row r="140" spans="1:11" x14ac:dyDescent="0.25">
      <c r="A140" s="200" t="s">
        <v>660</v>
      </c>
      <c r="B140" s="278"/>
      <c r="C140" s="217"/>
      <c r="D140" s="8">
        <v>55493</v>
      </c>
      <c r="E140" s="217"/>
      <c r="F140" s="176"/>
      <c r="G140" s="176"/>
      <c r="H140" s="185"/>
      <c r="I140" s="234"/>
      <c r="J140" s="236">
        <f t="shared" si="30"/>
        <v>55493</v>
      </c>
      <c r="K140" s="100">
        <f t="shared" si="29"/>
        <v>16722103</v>
      </c>
    </row>
    <row r="141" spans="1:11" x14ac:dyDescent="0.25">
      <c r="A141" s="200" t="s">
        <v>661</v>
      </c>
      <c r="B141" s="278"/>
      <c r="C141" s="217"/>
      <c r="D141" s="8">
        <v>16526</v>
      </c>
      <c r="E141" s="217"/>
      <c r="F141" s="176"/>
      <c r="G141" s="176"/>
      <c r="H141" s="185"/>
      <c r="I141" s="234"/>
      <c r="J141" s="236">
        <f t="shared" si="30"/>
        <v>16526</v>
      </c>
      <c r="K141" s="100">
        <f t="shared" si="29"/>
        <v>16738629</v>
      </c>
    </row>
    <row r="142" spans="1:11" x14ac:dyDescent="0.25">
      <c r="A142" s="200" t="s">
        <v>644</v>
      </c>
      <c r="B142" s="278"/>
      <c r="C142" s="217"/>
      <c r="D142" s="16"/>
      <c r="E142" s="217"/>
      <c r="F142" s="176"/>
      <c r="G142" s="176"/>
      <c r="H142" s="185"/>
      <c r="I142" s="234">
        <v>200000</v>
      </c>
      <c r="J142" s="236">
        <f t="shared" si="30"/>
        <v>200000</v>
      </c>
      <c r="K142" s="100">
        <f t="shared" si="29"/>
        <v>16938629</v>
      </c>
    </row>
    <row r="143" spans="1:11" x14ac:dyDescent="0.25">
      <c r="A143" s="200" t="s">
        <v>671</v>
      </c>
      <c r="B143" s="278"/>
      <c r="C143" s="217">
        <v>397885</v>
      </c>
      <c r="D143" s="16"/>
      <c r="E143" s="217"/>
      <c r="F143" s="176"/>
      <c r="G143" s="176"/>
      <c r="H143" s="185"/>
      <c r="I143" s="234"/>
      <c r="J143" s="236">
        <f t="shared" si="30"/>
        <v>397885</v>
      </c>
      <c r="K143" s="100">
        <f t="shared" si="29"/>
        <v>17336514</v>
      </c>
    </row>
    <row r="144" spans="1:11" x14ac:dyDescent="0.25">
      <c r="A144" s="200" t="s">
        <v>678</v>
      </c>
      <c r="B144" s="278"/>
      <c r="C144" s="217">
        <v>5485</v>
      </c>
      <c r="D144" s="16"/>
      <c r="E144" s="217"/>
      <c r="F144" s="176"/>
      <c r="G144" s="176"/>
      <c r="H144" s="185"/>
      <c r="I144" s="234"/>
      <c r="J144" s="236">
        <f t="shared" si="30"/>
        <v>5485</v>
      </c>
      <c r="K144" s="100">
        <f t="shared" si="29"/>
        <v>17341999</v>
      </c>
    </row>
    <row r="145" spans="1:11" x14ac:dyDescent="0.25">
      <c r="A145" s="200" t="s">
        <v>685</v>
      </c>
      <c r="B145" s="278"/>
      <c r="C145" s="217">
        <v>21607</v>
      </c>
      <c r="D145" s="16"/>
      <c r="E145" s="217"/>
      <c r="F145" s="176"/>
      <c r="G145" s="176"/>
      <c r="H145" s="185"/>
      <c r="I145" s="234"/>
      <c r="J145" s="236">
        <f t="shared" si="30"/>
        <v>21607</v>
      </c>
      <c r="K145" s="100">
        <f t="shared" si="29"/>
        <v>17363606</v>
      </c>
    </row>
    <row r="146" spans="1:11" x14ac:dyDescent="0.25">
      <c r="A146" s="200" t="s">
        <v>704</v>
      </c>
      <c r="B146" s="278"/>
      <c r="C146" s="8"/>
      <c r="D146" s="8">
        <v>48108</v>
      </c>
      <c r="E146" s="8"/>
      <c r="F146" s="176"/>
      <c r="G146" s="176"/>
      <c r="H146" s="176"/>
      <c r="I146" s="234"/>
      <c r="J146" s="236">
        <f t="shared" si="30"/>
        <v>48108</v>
      </c>
      <c r="K146" s="100">
        <f t="shared" si="29"/>
        <v>17411714</v>
      </c>
    </row>
    <row r="147" spans="1:11" x14ac:dyDescent="0.25">
      <c r="A147" s="200" t="s">
        <v>706</v>
      </c>
      <c r="B147" s="278"/>
      <c r="C147" s="217">
        <v>720000</v>
      </c>
      <c r="D147" s="16"/>
      <c r="E147" s="217"/>
      <c r="F147" s="176"/>
      <c r="G147" s="176"/>
      <c r="H147" s="185"/>
      <c r="I147" s="234"/>
      <c r="J147" s="236">
        <f t="shared" si="30"/>
        <v>720000</v>
      </c>
      <c r="K147" s="100">
        <f t="shared" si="29"/>
        <v>18131714</v>
      </c>
    </row>
    <row r="148" spans="1:11" x14ac:dyDescent="0.25">
      <c r="A148" s="200" t="s">
        <v>707</v>
      </c>
      <c r="B148" s="278"/>
      <c r="C148" s="217">
        <v>720000</v>
      </c>
      <c r="D148" s="16"/>
      <c r="E148" s="217"/>
      <c r="F148" s="176"/>
      <c r="G148" s="176"/>
      <c r="H148" s="185"/>
      <c r="I148" s="234"/>
      <c r="J148" s="236">
        <f t="shared" si="30"/>
        <v>720000</v>
      </c>
      <c r="K148" s="100">
        <f t="shared" si="29"/>
        <v>18851714</v>
      </c>
    </row>
    <row r="149" spans="1:11" x14ac:dyDescent="0.25">
      <c r="A149" s="200" t="s">
        <v>708</v>
      </c>
      <c r="B149" s="278"/>
      <c r="C149" s="217">
        <v>720000</v>
      </c>
      <c r="D149" s="16"/>
      <c r="E149" s="217"/>
      <c r="F149" s="176"/>
      <c r="G149" s="176"/>
      <c r="H149" s="185"/>
      <c r="I149" s="234"/>
      <c r="J149" s="236">
        <f t="shared" si="30"/>
        <v>720000</v>
      </c>
      <c r="K149" s="100">
        <f t="shared" si="29"/>
        <v>19571714</v>
      </c>
    </row>
    <row r="150" spans="1:11" ht="15.75" thickBot="1" x14ac:dyDescent="0.3">
      <c r="A150" s="226" t="s">
        <v>709</v>
      </c>
      <c r="B150" s="372"/>
      <c r="C150" s="286">
        <v>480000</v>
      </c>
      <c r="D150" s="124"/>
      <c r="E150" s="286"/>
      <c r="F150" s="221"/>
      <c r="G150" s="221"/>
      <c r="H150" s="220"/>
      <c r="I150" s="373"/>
      <c r="J150" s="387">
        <f t="shared" si="30"/>
        <v>480000</v>
      </c>
      <c r="K150" s="100">
        <f>+K149+J150</f>
        <v>20051714</v>
      </c>
    </row>
    <row r="151" spans="1:11" ht="15.75" thickBot="1" x14ac:dyDescent="0.3">
      <c r="A151" s="339" t="s">
        <v>61</v>
      </c>
      <c r="B151" s="339"/>
      <c r="C151" s="83">
        <f>SUM(C132:C150)</f>
        <v>18336957</v>
      </c>
      <c r="D151" s="83">
        <f t="shared" ref="D151:I151" si="31">SUM(D132:D150)</f>
        <v>574357</v>
      </c>
      <c r="E151" s="83">
        <f t="shared" si="31"/>
        <v>190400</v>
      </c>
      <c r="F151" s="83">
        <f t="shared" si="31"/>
        <v>450000</v>
      </c>
      <c r="G151" s="83">
        <f t="shared" si="31"/>
        <v>300000</v>
      </c>
      <c r="H151" s="83">
        <f t="shared" si="31"/>
        <v>0</v>
      </c>
      <c r="I151" s="83">
        <f t="shared" si="31"/>
        <v>200000</v>
      </c>
      <c r="J151" s="361">
        <f>SUM(J133:J150)</f>
        <v>3851244</v>
      </c>
      <c r="K151" s="149">
        <f>K150</f>
        <v>20051714</v>
      </c>
    </row>
    <row r="152" spans="1:11" x14ac:dyDescent="0.25">
      <c r="A152" t="s">
        <v>5</v>
      </c>
    </row>
    <row r="154" spans="1:11" x14ac:dyDescent="0.25">
      <c r="A154" s="98"/>
      <c r="B154" s="98"/>
      <c r="C154" s="327">
        <f>+C11-C151</f>
        <v>3635043</v>
      </c>
      <c r="D154" s="327">
        <f t="shared" ref="D154:I154" si="32">+D11-D151</f>
        <v>279643</v>
      </c>
      <c r="E154" s="327">
        <f t="shared" si="32"/>
        <v>809600</v>
      </c>
      <c r="F154" s="327">
        <f t="shared" si="32"/>
        <v>350000</v>
      </c>
      <c r="G154" s="327">
        <f t="shared" si="32"/>
        <v>0</v>
      </c>
      <c r="H154" s="327">
        <f t="shared" si="32"/>
        <v>0</v>
      </c>
      <c r="I154" s="327">
        <f t="shared" si="32"/>
        <v>0</v>
      </c>
      <c r="J154" s="327"/>
      <c r="K154" s="327">
        <f>SUM(C154:J154)</f>
        <v>5074286</v>
      </c>
    </row>
    <row r="156" spans="1:11" x14ac:dyDescent="0.25">
      <c r="A156" t="s">
        <v>9</v>
      </c>
      <c r="E156" t="s">
        <v>50</v>
      </c>
      <c r="I156" t="s">
        <v>45</v>
      </c>
    </row>
    <row r="157" spans="1:11" x14ac:dyDescent="0.25">
      <c r="A157" t="s">
        <v>44</v>
      </c>
    </row>
    <row r="158" spans="1:11" x14ac:dyDescent="0.25">
      <c r="E158" t="s">
        <v>13</v>
      </c>
      <c r="F158" s="13">
        <v>6100</v>
      </c>
      <c r="I158" t="s">
        <v>75</v>
      </c>
    </row>
    <row r="159" spans="1:11" x14ac:dyDescent="0.25">
      <c r="E159" t="s">
        <v>6</v>
      </c>
      <c r="F159" s="13" t="s">
        <v>7</v>
      </c>
    </row>
    <row r="160" spans="1:11" ht="15.75" thickBot="1" x14ac:dyDescent="0.3"/>
    <row r="161" spans="1:11" ht="30.75" thickBot="1" x14ac:dyDescent="0.3">
      <c r="A161" s="75" t="s">
        <v>42</v>
      </c>
      <c r="B161" s="45"/>
      <c r="C161" s="45">
        <v>1</v>
      </c>
      <c r="D161" s="45">
        <v>2</v>
      </c>
      <c r="E161" s="45">
        <v>3</v>
      </c>
      <c r="F161" s="45">
        <v>4</v>
      </c>
      <c r="G161" s="45">
        <v>5</v>
      </c>
      <c r="H161" s="45">
        <v>6</v>
      </c>
      <c r="I161" s="45">
        <v>7</v>
      </c>
      <c r="J161" s="51" t="s">
        <v>16</v>
      </c>
      <c r="K161" s="40" t="s">
        <v>17</v>
      </c>
    </row>
    <row r="162" spans="1:11" x14ac:dyDescent="0.25">
      <c r="A162" s="76" t="s">
        <v>43</v>
      </c>
      <c r="B162" s="276"/>
      <c r="C162" s="35">
        <f>C151</f>
        <v>18336957</v>
      </c>
      <c r="D162" s="35">
        <f t="shared" ref="D162:K162" si="33">D151</f>
        <v>574357</v>
      </c>
      <c r="E162" s="35">
        <f t="shared" si="33"/>
        <v>190400</v>
      </c>
      <c r="F162" s="35">
        <f t="shared" si="33"/>
        <v>450000</v>
      </c>
      <c r="G162" s="35">
        <f t="shared" si="33"/>
        <v>300000</v>
      </c>
      <c r="H162" s="35">
        <f t="shared" si="33"/>
        <v>0</v>
      </c>
      <c r="I162" s="35">
        <f t="shared" si="33"/>
        <v>200000</v>
      </c>
      <c r="J162" s="35">
        <f t="shared" si="33"/>
        <v>3851244</v>
      </c>
      <c r="K162" s="35">
        <f t="shared" si="33"/>
        <v>20051714</v>
      </c>
    </row>
    <row r="163" spans="1:11" x14ac:dyDescent="0.25">
      <c r="A163" s="61" t="s">
        <v>710</v>
      </c>
      <c r="B163" s="278"/>
      <c r="C163" s="8">
        <v>480000</v>
      </c>
      <c r="D163" s="8"/>
      <c r="E163" s="16"/>
      <c r="F163" s="16"/>
      <c r="G163" s="8"/>
      <c r="H163" s="16"/>
      <c r="I163" s="16"/>
      <c r="J163" s="233">
        <f>SUM(C163:I163)</f>
        <v>480000</v>
      </c>
      <c r="K163" s="9">
        <f>K162+J163</f>
        <v>20531714</v>
      </c>
    </row>
    <row r="164" spans="1:11" ht="15.75" thickBot="1" x14ac:dyDescent="0.3">
      <c r="A164" s="73" t="s">
        <v>711</v>
      </c>
      <c r="B164" s="300"/>
      <c r="C164" s="215">
        <v>480000</v>
      </c>
      <c r="D164" s="10"/>
      <c r="E164" s="215"/>
      <c r="F164" s="194"/>
      <c r="G164" s="194"/>
      <c r="H164" s="199"/>
      <c r="I164" s="242"/>
      <c r="J164" s="489">
        <f>SUM(C164:I164)</f>
        <v>480000</v>
      </c>
      <c r="K164" s="11">
        <f>K163+J164</f>
        <v>21011714</v>
      </c>
    </row>
    <row r="165" spans="1:11" x14ac:dyDescent="0.25">
      <c r="A165" s="265" t="s">
        <v>69</v>
      </c>
      <c r="B165" s="181"/>
      <c r="C165" s="80">
        <f>SUM(C162:C164)</f>
        <v>19296957</v>
      </c>
      <c r="D165" s="80">
        <f t="shared" ref="D165:I165" si="34">SUM(D162:D164)</f>
        <v>574357</v>
      </c>
      <c r="E165" s="80">
        <f t="shared" si="34"/>
        <v>190400</v>
      </c>
      <c r="F165" s="80">
        <f t="shared" si="34"/>
        <v>450000</v>
      </c>
      <c r="G165" s="80">
        <f t="shared" si="34"/>
        <v>300000</v>
      </c>
      <c r="H165" s="80">
        <f t="shared" si="34"/>
        <v>0</v>
      </c>
      <c r="I165" s="80">
        <f t="shared" si="34"/>
        <v>200000</v>
      </c>
      <c r="J165" s="245">
        <f>SUM(J162:J164)</f>
        <v>4811244</v>
      </c>
      <c r="K165" s="80">
        <f>+K164</f>
        <v>21011714</v>
      </c>
    </row>
    <row r="166" spans="1:11" x14ac:dyDescent="0.25">
      <c r="A166" s="200" t="s">
        <v>728</v>
      </c>
      <c r="B166" s="178"/>
      <c r="C166" s="8"/>
      <c r="D166" s="8"/>
      <c r="E166" s="8">
        <v>30300</v>
      </c>
      <c r="F166" s="176"/>
      <c r="G166" s="176"/>
      <c r="H166" s="176"/>
      <c r="I166" s="234"/>
      <c r="J166" s="236">
        <f t="shared" ref="J166:J181" si="35">SUM(C166:I166)</f>
        <v>30300</v>
      </c>
      <c r="K166" s="8">
        <f>+K165+J166</f>
        <v>21042014</v>
      </c>
    </row>
    <row r="167" spans="1:11" x14ac:dyDescent="0.25">
      <c r="A167" s="200" t="s">
        <v>751</v>
      </c>
      <c r="B167" s="178"/>
      <c r="C167" s="8">
        <v>397885</v>
      </c>
      <c r="D167" s="8"/>
      <c r="E167" s="8"/>
      <c r="F167" s="8"/>
      <c r="G167" s="8"/>
      <c r="H167" s="8"/>
      <c r="I167" s="8"/>
      <c r="J167" s="236">
        <f t="shared" si="35"/>
        <v>397885</v>
      </c>
      <c r="K167" s="8">
        <f>+K166+J167</f>
        <v>21439899</v>
      </c>
    </row>
    <row r="168" spans="1:11" x14ac:dyDescent="0.25">
      <c r="A168" s="200" t="s">
        <v>756</v>
      </c>
      <c r="B168" s="278"/>
      <c r="C168" s="217">
        <v>5485</v>
      </c>
      <c r="D168" s="16"/>
      <c r="E168" s="217"/>
      <c r="F168" s="176"/>
      <c r="G168" s="176"/>
      <c r="H168" s="185"/>
      <c r="I168" s="234"/>
      <c r="J168" s="236">
        <f t="shared" si="35"/>
        <v>5485</v>
      </c>
      <c r="K168" s="8">
        <f>+K167+J168</f>
        <v>21445384</v>
      </c>
    </row>
    <row r="169" spans="1:11" x14ac:dyDescent="0.25">
      <c r="A169" s="200" t="s">
        <v>757</v>
      </c>
      <c r="B169" s="278"/>
      <c r="C169" s="217">
        <v>21607</v>
      </c>
      <c r="D169" s="16"/>
      <c r="E169" s="217"/>
      <c r="F169" s="176"/>
      <c r="G169" s="176"/>
      <c r="H169" s="185"/>
      <c r="I169" s="234"/>
      <c r="J169" s="236">
        <f t="shared" si="35"/>
        <v>21607</v>
      </c>
      <c r="K169" s="8">
        <f t="shared" ref="K169:K181" si="36">+K168+J169</f>
        <v>21466991</v>
      </c>
    </row>
    <row r="170" spans="1:11" ht="15.75" thickBot="1" x14ac:dyDescent="0.3">
      <c r="A170" s="292" t="s">
        <v>758</v>
      </c>
      <c r="B170" s="300"/>
      <c r="C170" s="215"/>
      <c r="D170" s="10">
        <v>48108</v>
      </c>
      <c r="E170" s="215"/>
      <c r="F170" s="194"/>
      <c r="G170" s="194"/>
      <c r="H170" s="199"/>
      <c r="I170" s="242"/>
      <c r="J170" s="489">
        <f t="shared" si="35"/>
        <v>48108</v>
      </c>
      <c r="K170" s="10">
        <f t="shared" si="36"/>
        <v>21515099</v>
      </c>
    </row>
    <row r="171" spans="1:11" x14ac:dyDescent="0.25">
      <c r="A171" s="265" t="s">
        <v>70</v>
      </c>
      <c r="B171" s="181"/>
      <c r="C171" s="80">
        <f>SUM(C165:C170)</f>
        <v>19721934</v>
      </c>
      <c r="D171" s="80">
        <f t="shared" ref="D171:I171" si="37">SUM(D165:D170)</f>
        <v>622465</v>
      </c>
      <c r="E171" s="80">
        <f t="shared" si="37"/>
        <v>220700</v>
      </c>
      <c r="F171" s="80">
        <f t="shared" si="37"/>
        <v>450000</v>
      </c>
      <c r="G171" s="80">
        <f t="shared" si="37"/>
        <v>300000</v>
      </c>
      <c r="H171" s="80">
        <f t="shared" si="37"/>
        <v>0</v>
      </c>
      <c r="I171" s="80">
        <f t="shared" si="37"/>
        <v>200000</v>
      </c>
      <c r="J171" s="245">
        <f>SUM(J166:J170)</f>
        <v>503385</v>
      </c>
      <c r="K171" s="35">
        <f>+K170</f>
        <v>21515099</v>
      </c>
    </row>
    <row r="172" spans="1:11" x14ac:dyDescent="0.25">
      <c r="A172" s="200" t="s">
        <v>805</v>
      </c>
      <c r="B172" s="278"/>
      <c r="C172" s="217">
        <v>397885</v>
      </c>
      <c r="D172" s="16"/>
      <c r="E172" s="217"/>
      <c r="F172" s="176"/>
      <c r="G172" s="176"/>
      <c r="H172" s="185"/>
      <c r="I172" s="234"/>
      <c r="J172" s="236">
        <f t="shared" si="35"/>
        <v>397885</v>
      </c>
      <c r="K172" s="8">
        <f t="shared" si="36"/>
        <v>21912984</v>
      </c>
    </row>
    <row r="173" spans="1:11" x14ac:dyDescent="0.25">
      <c r="A173" s="200" t="s">
        <v>811</v>
      </c>
      <c r="B173" s="278"/>
      <c r="C173" s="217">
        <v>5485</v>
      </c>
      <c r="D173" s="16"/>
      <c r="E173" s="217"/>
      <c r="F173" s="176"/>
      <c r="G173" s="176"/>
      <c r="H173" s="185"/>
      <c r="I173" s="234"/>
      <c r="J173" s="236">
        <f t="shared" si="35"/>
        <v>5485</v>
      </c>
      <c r="K173" s="8">
        <f t="shared" si="36"/>
        <v>21918469</v>
      </c>
    </row>
    <row r="174" spans="1:11" x14ac:dyDescent="0.25">
      <c r="A174" s="200" t="s">
        <v>824</v>
      </c>
      <c r="B174" s="278"/>
      <c r="C174" s="217">
        <v>21607</v>
      </c>
      <c r="D174" s="16"/>
      <c r="E174" s="217"/>
      <c r="F174" s="176"/>
      <c r="G174" s="176"/>
      <c r="H174" s="185"/>
      <c r="I174" s="234"/>
      <c r="J174" s="236">
        <f t="shared" si="35"/>
        <v>21607</v>
      </c>
      <c r="K174" s="8">
        <f t="shared" si="36"/>
        <v>21940076</v>
      </c>
    </row>
    <row r="175" spans="1:11" x14ac:dyDescent="0.25">
      <c r="A175" s="200" t="s">
        <v>825</v>
      </c>
      <c r="B175" s="278"/>
      <c r="C175" s="8"/>
      <c r="D175" s="8">
        <v>48108</v>
      </c>
      <c r="E175" s="8"/>
      <c r="F175" s="176"/>
      <c r="G175" s="176"/>
      <c r="H175" s="176"/>
      <c r="I175" s="234"/>
      <c r="J175" s="236">
        <f t="shared" si="35"/>
        <v>48108</v>
      </c>
      <c r="K175" s="8">
        <f t="shared" si="36"/>
        <v>21988184</v>
      </c>
    </row>
    <row r="176" spans="1:11" x14ac:dyDescent="0.25">
      <c r="A176" s="200" t="s">
        <v>853</v>
      </c>
      <c r="B176" s="278"/>
      <c r="C176" s="8">
        <v>397885</v>
      </c>
      <c r="D176" s="8"/>
      <c r="E176" s="8"/>
      <c r="F176" s="176"/>
      <c r="G176" s="176"/>
      <c r="H176" s="176"/>
      <c r="I176" s="234"/>
      <c r="J176" s="236">
        <f t="shared" si="35"/>
        <v>397885</v>
      </c>
      <c r="K176" s="8">
        <f t="shared" si="36"/>
        <v>22386069</v>
      </c>
    </row>
    <row r="177" spans="1:11" x14ac:dyDescent="0.25">
      <c r="A177" s="200" t="s">
        <v>860</v>
      </c>
      <c r="B177" s="278"/>
      <c r="C177" s="8">
        <v>5485</v>
      </c>
      <c r="D177" s="8"/>
      <c r="E177" s="8"/>
      <c r="F177" s="176"/>
      <c r="G177" s="176"/>
      <c r="H177" s="176"/>
      <c r="I177" s="234"/>
      <c r="J177" s="236">
        <f t="shared" si="35"/>
        <v>5485</v>
      </c>
      <c r="K177" s="8">
        <f t="shared" si="36"/>
        <v>22391554</v>
      </c>
    </row>
    <row r="178" spans="1:11" x14ac:dyDescent="0.25">
      <c r="A178" s="200" t="s">
        <v>867</v>
      </c>
      <c r="B178" s="278"/>
      <c r="C178" s="8">
        <v>21607</v>
      </c>
      <c r="D178" s="8"/>
      <c r="E178" s="8"/>
      <c r="F178" s="176"/>
      <c r="G178" s="176"/>
      <c r="H178" s="176"/>
      <c r="I178" s="234"/>
      <c r="J178" s="236">
        <f t="shared" si="35"/>
        <v>21607</v>
      </c>
      <c r="K178" s="8">
        <f t="shared" si="36"/>
        <v>22413161</v>
      </c>
    </row>
    <row r="179" spans="1:11" x14ac:dyDescent="0.25">
      <c r="A179" s="200" t="s">
        <v>874</v>
      </c>
      <c r="B179" s="278"/>
      <c r="C179" s="8"/>
      <c r="D179" s="8">
        <v>48108</v>
      </c>
      <c r="E179" s="8"/>
      <c r="F179" s="176"/>
      <c r="G179" s="176"/>
      <c r="H179" s="176"/>
      <c r="I179" s="234"/>
      <c r="J179" s="236">
        <f t="shared" si="35"/>
        <v>48108</v>
      </c>
      <c r="K179" s="8">
        <f t="shared" si="36"/>
        <v>22461269</v>
      </c>
    </row>
    <row r="180" spans="1:11" x14ac:dyDescent="0.25">
      <c r="A180" s="200" t="s">
        <v>880</v>
      </c>
      <c r="B180" s="278"/>
      <c r="C180" s="8"/>
      <c r="D180" s="8"/>
      <c r="E180" s="8">
        <v>64650</v>
      </c>
      <c r="F180" s="176"/>
      <c r="G180" s="176"/>
      <c r="H180" s="176"/>
      <c r="I180" s="234"/>
      <c r="J180" s="236">
        <f t="shared" si="35"/>
        <v>64650</v>
      </c>
      <c r="K180" s="8">
        <f t="shared" si="36"/>
        <v>22525919</v>
      </c>
    </row>
    <row r="181" spans="1:11" ht="15.75" thickBot="1" x14ac:dyDescent="0.3">
      <c r="A181" s="301" t="s">
        <v>896</v>
      </c>
      <c r="B181" s="277"/>
      <c r="C181" s="15"/>
      <c r="D181" s="15"/>
      <c r="E181" s="15"/>
      <c r="F181" s="116">
        <v>350000</v>
      </c>
      <c r="G181" s="15"/>
      <c r="H181" s="15"/>
      <c r="I181" s="15"/>
      <c r="J181" s="236">
        <f t="shared" si="35"/>
        <v>350000</v>
      </c>
      <c r="K181" s="8">
        <f t="shared" si="36"/>
        <v>22875919</v>
      </c>
    </row>
    <row r="182" spans="1:11" ht="15.75" thickBot="1" x14ac:dyDescent="0.3">
      <c r="A182" s="319" t="s">
        <v>61</v>
      </c>
      <c r="B182" s="339" t="s">
        <v>74</v>
      </c>
      <c r="C182" s="83">
        <f>SUM(C171:C181)</f>
        <v>20571888</v>
      </c>
      <c r="D182" s="83">
        <f t="shared" ref="D182:I182" si="38">SUM(D171:D181)</f>
        <v>718681</v>
      </c>
      <c r="E182" s="83">
        <f t="shared" si="38"/>
        <v>285350</v>
      </c>
      <c r="F182" s="83">
        <f t="shared" si="38"/>
        <v>800000</v>
      </c>
      <c r="G182" s="83">
        <f t="shared" si="38"/>
        <v>300000</v>
      </c>
      <c r="H182" s="83">
        <f t="shared" si="38"/>
        <v>0</v>
      </c>
      <c r="I182" s="83">
        <f t="shared" si="38"/>
        <v>200000</v>
      </c>
      <c r="J182" s="83">
        <f>SUM(J172:J181)</f>
        <v>1360820</v>
      </c>
      <c r="K182" s="149">
        <f>K181</f>
        <v>22875919</v>
      </c>
    </row>
    <row r="183" spans="1:11" x14ac:dyDescent="0.25">
      <c r="A183" t="s">
        <v>5</v>
      </c>
    </row>
    <row r="185" spans="1:11" x14ac:dyDescent="0.25">
      <c r="A185" s="98"/>
      <c r="B185" s="98"/>
      <c r="C185" s="327">
        <f>C7-C182</f>
        <v>1400112</v>
      </c>
      <c r="D185" s="327">
        <f t="shared" ref="D185:I185" si="39">D7-D182</f>
        <v>135319</v>
      </c>
      <c r="E185" s="327">
        <f t="shared" si="39"/>
        <v>714650</v>
      </c>
      <c r="F185" s="327">
        <f t="shared" si="39"/>
        <v>0</v>
      </c>
      <c r="G185" s="327">
        <f t="shared" si="39"/>
        <v>0</v>
      </c>
      <c r="H185" s="327">
        <f t="shared" si="39"/>
        <v>0</v>
      </c>
      <c r="I185" s="327">
        <f t="shared" si="39"/>
        <v>0</v>
      </c>
      <c r="J185" s="327"/>
      <c r="K185" s="327">
        <f>K7-K171</f>
        <v>3610901</v>
      </c>
    </row>
    <row r="188" spans="1:11" x14ac:dyDescent="0.25">
      <c r="A188" t="s">
        <v>9</v>
      </c>
      <c r="E188" t="s">
        <v>50</v>
      </c>
      <c r="I188" t="s">
        <v>45</v>
      </c>
    </row>
    <row r="189" spans="1:11" x14ac:dyDescent="0.25">
      <c r="A189" t="s">
        <v>44</v>
      </c>
    </row>
    <row r="190" spans="1:11" x14ac:dyDescent="0.25">
      <c r="E190" t="s">
        <v>13</v>
      </c>
      <c r="F190" s="13">
        <v>6100</v>
      </c>
      <c r="I190" t="s">
        <v>75</v>
      </c>
    </row>
    <row r="191" spans="1:11" x14ac:dyDescent="0.25">
      <c r="E191" t="s">
        <v>6</v>
      </c>
      <c r="F191" s="13" t="s">
        <v>7</v>
      </c>
    </row>
    <row r="192" spans="1:11" ht="15.75" thickBot="1" x14ac:dyDescent="0.3"/>
    <row r="193" spans="1:11" ht="30.75" thickBot="1" x14ac:dyDescent="0.3">
      <c r="A193" s="75" t="s">
        <v>42</v>
      </c>
      <c r="B193" s="45"/>
      <c r="C193" s="45">
        <v>1</v>
      </c>
      <c r="D193" s="45">
        <v>2</v>
      </c>
      <c r="E193" s="45">
        <v>3</v>
      </c>
      <c r="F193" s="45">
        <v>4</v>
      </c>
      <c r="G193" s="45">
        <v>5</v>
      </c>
      <c r="H193" s="45">
        <v>6</v>
      </c>
      <c r="I193" s="45">
        <v>7</v>
      </c>
      <c r="J193" s="51" t="s">
        <v>16</v>
      </c>
      <c r="K193" s="40" t="s">
        <v>17</v>
      </c>
    </row>
    <row r="194" spans="1:11" x14ac:dyDescent="0.25">
      <c r="A194" s="76" t="s">
        <v>43</v>
      </c>
      <c r="B194" s="276"/>
      <c r="C194" s="35">
        <f>+C182</f>
        <v>20571888</v>
      </c>
      <c r="D194" s="35">
        <f t="shared" ref="D194:K194" si="40">+D182</f>
        <v>718681</v>
      </c>
      <c r="E194" s="35">
        <f t="shared" si="40"/>
        <v>285350</v>
      </c>
      <c r="F194" s="35">
        <f t="shared" si="40"/>
        <v>800000</v>
      </c>
      <c r="G194" s="35">
        <f t="shared" si="40"/>
        <v>300000</v>
      </c>
      <c r="H194" s="35">
        <f t="shared" si="40"/>
        <v>0</v>
      </c>
      <c r="I194" s="35">
        <f t="shared" si="40"/>
        <v>200000</v>
      </c>
      <c r="J194" s="35">
        <f t="shared" si="40"/>
        <v>1360820</v>
      </c>
      <c r="K194" s="35">
        <f t="shared" si="40"/>
        <v>22875919</v>
      </c>
    </row>
    <row r="195" spans="1:11" x14ac:dyDescent="0.25">
      <c r="A195" s="61" t="s">
        <v>899</v>
      </c>
      <c r="B195" s="278"/>
      <c r="C195" s="8"/>
      <c r="D195" s="8"/>
      <c r="E195" s="8">
        <v>232950</v>
      </c>
      <c r="F195" s="16"/>
      <c r="G195" s="8"/>
      <c r="H195" s="16"/>
      <c r="I195" s="16"/>
      <c r="J195" s="233">
        <f t="shared" ref="J195:J201" si="41">SUM(C195:I195)</f>
        <v>232950</v>
      </c>
      <c r="K195" s="9">
        <f>K194+J195</f>
        <v>23108869</v>
      </c>
    </row>
    <row r="196" spans="1:11" x14ac:dyDescent="0.25">
      <c r="A196" s="69" t="s">
        <v>900</v>
      </c>
      <c r="B196" s="316"/>
      <c r="C196" s="282"/>
      <c r="D196" s="64"/>
      <c r="E196" s="282">
        <v>136400</v>
      </c>
      <c r="F196" s="175"/>
      <c r="G196" s="175"/>
      <c r="H196" s="317"/>
      <c r="I196" s="233"/>
      <c r="J196" s="280">
        <f t="shared" si="41"/>
        <v>136400</v>
      </c>
      <c r="K196" s="9">
        <f t="shared" ref="K196:K200" si="42">K195+J196</f>
        <v>23245269</v>
      </c>
    </row>
    <row r="197" spans="1:11" x14ac:dyDescent="0.25">
      <c r="A197" s="200" t="s">
        <v>905</v>
      </c>
      <c r="B197" s="178"/>
      <c r="C197" s="8">
        <v>420000</v>
      </c>
      <c r="D197" s="8"/>
      <c r="E197" s="8"/>
      <c r="F197" s="176"/>
      <c r="G197" s="176"/>
      <c r="H197" s="176"/>
      <c r="I197" s="234"/>
      <c r="J197" s="236">
        <f t="shared" si="41"/>
        <v>420000</v>
      </c>
      <c r="K197" s="9">
        <f t="shared" si="42"/>
        <v>23665269</v>
      </c>
    </row>
    <row r="198" spans="1:11" x14ac:dyDescent="0.25">
      <c r="A198" s="200" t="s">
        <v>906</v>
      </c>
      <c r="B198" s="178"/>
      <c r="C198" s="8">
        <v>420000</v>
      </c>
      <c r="D198" s="8"/>
      <c r="E198" s="8"/>
      <c r="F198" s="8"/>
      <c r="G198" s="8"/>
      <c r="H198" s="8"/>
      <c r="I198" s="8"/>
      <c r="J198" s="236">
        <f t="shared" si="41"/>
        <v>420000</v>
      </c>
      <c r="K198" s="9">
        <f t="shared" si="42"/>
        <v>24085269</v>
      </c>
    </row>
    <row r="199" spans="1:11" x14ac:dyDescent="0.25">
      <c r="A199" s="200" t="s">
        <v>907</v>
      </c>
      <c r="B199" s="278"/>
      <c r="C199" s="217">
        <v>420000</v>
      </c>
      <c r="D199" s="16"/>
      <c r="E199" s="217"/>
      <c r="F199" s="176"/>
      <c r="G199" s="176"/>
      <c r="H199" s="185"/>
      <c r="I199" s="234"/>
      <c r="J199" s="236">
        <f t="shared" si="41"/>
        <v>420000</v>
      </c>
      <c r="K199" s="9">
        <f t="shared" si="42"/>
        <v>24505269</v>
      </c>
    </row>
    <row r="200" spans="1:11" x14ac:dyDescent="0.25">
      <c r="A200" s="200" t="s">
        <v>911</v>
      </c>
      <c r="B200" s="278"/>
      <c r="C200" s="217"/>
      <c r="D200" s="16"/>
      <c r="E200" s="217">
        <v>56600</v>
      </c>
      <c r="F200" s="176"/>
      <c r="G200" s="176"/>
      <c r="H200" s="185"/>
      <c r="I200" s="234"/>
      <c r="J200" s="236">
        <f t="shared" si="41"/>
        <v>56600</v>
      </c>
      <c r="K200" s="9">
        <f t="shared" si="42"/>
        <v>24561869</v>
      </c>
    </row>
    <row r="201" spans="1:11" ht="15.75" thickBot="1" x14ac:dyDescent="0.3">
      <c r="A201" s="292"/>
      <c r="B201" s="300"/>
      <c r="C201" s="215"/>
      <c r="D201" s="10"/>
      <c r="E201" s="215"/>
      <c r="F201" s="194"/>
      <c r="G201" s="194"/>
      <c r="H201" s="199"/>
      <c r="I201" s="242"/>
      <c r="J201" s="489">
        <f t="shared" si="41"/>
        <v>0</v>
      </c>
      <c r="K201" s="10">
        <f>+K200+J201</f>
        <v>24561869</v>
      </c>
    </row>
    <row r="202" spans="1:11" x14ac:dyDescent="0.25">
      <c r="A202" s="265" t="s">
        <v>914</v>
      </c>
      <c r="B202" s="181"/>
      <c r="C202" s="80">
        <f>SUM(C194:C201)</f>
        <v>21831888</v>
      </c>
      <c r="D202" s="80">
        <f t="shared" ref="D202:I202" si="43">SUM(D194:D201)</f>
        <v>718681</v>
      </c>
      <c r="E202" s="80">
        <f t="shared" si="43"/>
        <v>711300</v>
      </c>
      <c r="F202" s="80">
        <f t="shared" si="43"/>
        <v>800000</v>
      </c>
      <c r="G202" s="80">
        <f t="shared" si="43"/>
        <v>300000</v>
      </c>
      <c r="H202" s="80">
        <f t="shared" si="43"/>
        <v>0</v>
      </c>
      <c r="I202" s="80">
        <f t="shared" si="43"/>
        <v>200000</v>
      </c>
      <c r="J202" s="245">
        <f>SUM(J197:J201)</f>
        <v>1316600</v>
      </c>
      <c r="K202" s="35">
        <f>+K201</f>
        <v>24561869</v>
      </c>
    </row>
    <row r="203" spans="1:11" x14ac:dyDescent="0.25">
      <c r="A203" s="200"/>
      <c r="B203" s="278"/>
      <c r="C203" s="217"/>
      <c r="D203" s="16"/>
      <c r="E203" s="217"/>
      <c r="F203" s="176"/>
      <c r="G203" s="176"/>
      <c r="H203" s="185"/>
      <c r="I203" s="234"/>
      <c r="J203" s="236">
        <f t="shared" ref="J203:J212" si="44">SUM(C203:I203)</f>
        <v>0</v>
      </c>
      <c r="K203" s="8">
        <f t="shared" ref="K203" si="45">+K202+J203</f>
        <v>24561869</v>
      </c>
    </row>
    <row r="204" spans="1:11" x14ac:dyDescent="0.25">
      <c r="A204" s="200"/>
      <c r="B204" s="278"/>
      <c r="C204" s="217"/>
      <c r="D204" s="16"/>
      <c r="E204" s="217"/>
      <c r="F204" s="176"/>
      <c r="G204" s="176"/>
      <c r="H204" s="185"/>
      <c r="I204" s="234"/>
      <c r="J204" s="236">
        <f t="shared" si="44"/>
        <v>0</v>
      </c>
      <c r="K204" s="8"/>
    </row>
    <row r="205" spans="1:11" x14ac:dyDescent="0.25">
      <c r="A205" s="200"/>
      <c r="B205" s="278"/>
      <c r="C205" s="217"/>
      <c r="D205" s="16"/>
      <c r="E205" s="217"/>
      <c r="F205" s="176"/>
      <c r="G205" s="176"/>
      <c r="H205" s="185"/>
      <c r="I205" s="234"/>
      <c r="J205" s="236">
        <f t="shared" si="44"/>
        <v>0</v>
      </c>
      <c r="K205" s="8"/>
    </row>
    <row r="206" spans="1:11" x14ac:dyDescent="0.25">
      <c r="A206" s="200"/>
      <c r="B206" s="278"/>
      <c r="C206" s="8"/>
      <c r="D206" s="8"/>
      <c r="E206" s="8"/>
      <c r="F206" s="176"/>
      <c r="G206" s="176"/>
      <c r="H206" s="176"/>
      <c r="I206" s="234"/>
      <c r="J206" s="236">
        <f t="shared" si="44"/>
        <v>0</v>
      </c>
      <c r="K206" s="8"/>
    </row>
    <row r="207" spans="1:11" x14ac:dyDescent="0.25">
      <c r="A207" s="200"/>
      <c r="B207" s="278"/>
      <c r="C207" s="8"/>
      <c r="D207" s="8"/>
      <c r="E207" s="8"/>
      <c r="F207" s="176"/>
      <c r="G207" s="176"/>
      <c r="H207" s="176"/>
      <c r="I207" s="234"/>
      <c r="J207" s="236">
        <f t="shared" si="44"/>
        <v>0</v>
      </c>
      <c r="K207" s="8"/>
    </row>
    <row r="208" spans="1:11" x14ac:dyDescent="0.25">
      <c r="A208" s="200"/>
      <c r="B208" s="278"/>
      <c r="C208" s="8"/>
      <c r="D208" s="8"/>
      <c r="E208" s="8"/>
      <c r="F208" s="176"/>
      <c r="G208" s="176"/>
      <c r="H208" s="176"/>
      <c r="I208" s="234"/>
      <c r="J208" s="236">
        <f t="shared" si="44"/>
        <v>0</v>
      </c>
      <c r="K208" s="8"/>
    </row>
    <row r="209" spans="1:11" x14ac:dyDescent="0.25">
      <c r="A209" s="200"/>
      <c r="B209" s="278"/>
      <c r="C209" s="8"/>
      <c r="D209" s="8"/>
      <c r="E209" s="8"/>
      <c r="F209" s="176"/>
      <c r="G209" s="176"/>
      <c r="H209" s="176"/>
      <c r="I209" s="234"/>
      <c r="J209" s="236">
        <f t="shared" si="44"/>
        <v>0</v>
      </c>
      <c r="K209" s="8"/>
    </row>
    <row r="210" spans="1:11" x14ac:dyDescent="0.25">
      <c r="A210" s="200"/>
      <c r="B210" s="278"/>
      <c r="C210" s="8"/>
      <c r="D210" s="8"/>
      <c r="E210" s="8"/>
      <c r="F210" s="176"/>
      <c r="G210" s="176"/>
      <c r="H210" s="176"/>
      <c r="I210" s="234"/>
      <c r="J210" s="236">
        <f t="shared" si="44"/>
        <v>0</v>
      </c>
      <c r="K210" s="8"/>
    </row>
    <row r="211" spans="1:11" x14ac:dyDescent="0.25">
      <c r="A211" s="200"/>
      <c r="B211" s="278"/>
      <c r="C211" s="8"/>
      <c r="D211" s="8"/>
      <c r="E211" s="8"/>
      <c r="F211" s="176"/>
      <c r="G211" s="176"/>
      <c r="H211" s="176"/>
      <c r="I211" s="234"/>
      <c r="J211" s="236">
        <f t="shared" si="44"/>
        <v>0</v>
      </c>
      <c r="K211" s="8"/>
    </row>
    <row r="212" spans="1:11" ht="15.75" thickBot="1" x14ac:dyDescent="0.3">
      <c r="A212" s="301"/>
      <c r="B212" s="277"/>
      <c r="C212" s="15"/>
      <c r="D212" s="15"/>
      <c r="E212" s="15"/>
      <c r="F212" s="116"/>
      <c r="G212" s="15"/>
      <c r="H212" s="15"/>
      <c r="I212" s="15"/>
      <c r="J212" s="236">
        <f t="shared" si="44"/>
        <v>0</v>
      </c>
      <c r="K212" s="8"/>
    </row>
    <row r="213" spans="1:11" ht="15.75" thickBot="1" x14ac:dyDescent="0.3">
      <c r="A213" s="319" t="s">
        <v>61</v>
      </c>
      <c r="B213" s="339"/>
      <c r="C213" s="83"/>
      <c r="D213" s="83"/>
      <c r="E213" s="83"/>
      <c r="F213" s="83"/>
      <c r="G213" s="83"/>
      <c r="H213" s="83"/>
      <c r="I213" s="83"/>
      <c r="J213" s="83">
        <f>SUM(J203:J212)</f>
        <v>0</v>
      </c>
      <c r="K213" s="149">
        <f>K212</f>
        <v>0</v>
      </c>
    </row>
    <row r="214" spans="1:11" x14ac:dyDescent="0.25">
      <c r="A214" t="s">
        <v>5</v>
      </c>
    </row>
    <row r="216" spans="1:11" x14ac:dyDescent="0.25">
      <c r="A216" s="98"/>
      <c r="B216" s="98"/>
      <c r="C216" s="327">
        <f>C11-C202</f>
        <v>140112</v>
      </c>
      <c r="D216" s="327">
        <f t="shared" ref="D216:K216" si="46">D11-D202</f>
        <v>135319</v>
      </c>
      <c r="E216" s="327">
        <f t="shared" si="46"/>
        <v>288700</v>
      </c>
      <c r="F216" s="327">
        <f t="shared" si="46"/>
        <v>0</v>
      </c>
      <c r="G216" s="327">
        <f t="shared" si="46"/>
        <v>0</v>
      </c>
      <c r="H216" s="327">
        <f t="shared" si="46"/>
        <v>0</v>
      </c>
      <c r="I216" s="327">
        <f t="shared" si="46"/>
        <v>0</v>
      </c>
      <c r="J216" s="327"/>
      <c r="K216" s="327">
        <f t="shared" si="46"/>
        <v>564131</v>
      </c>
    </row>
  </sheetData>
  <mergeCells count="1">
    <mergeCell ref="B12:K12"/>
  </mergeCells>
  <pageMargins left="0.57291666666666663" right="0.47916666666666669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26"/>
  <sheetViews>
    <sheetView view="pageLayout" topLeftCell="A10" zoomScaleNormal="100" workbookViewId="0">
      <selection activeCell="H16" sqref="H16"/>
    </sheetView>
  </sheetViews>
  <sheetFormatPr baseColWidth="10" defaultColWidth="11.42578125" defaultRowHeight="15" x14ac:dyDescent="0.25"/>
  <cols>
    <col min="6" max="6" width="11.7109375" bestFit="1" customWidth="1"/>
    <col min="11" max="11" width="11.7109375" bestFit="1" customWidth="1"/>
  </cols>
  <sheetData>
    <row r="1" spans="1:15" x14ac:dyDescent="0.25">
      <c r="A1" t="s">
        <v>9</v>
      </c>
      <c r="E1" t="s">
        <v>50</v>
      </c>
      <c r="I1" t="s">
        <v>45</v>
      </c>
    </row>
    <row r="2" spans="1:15" x14ac:dyDescent="0.25">
      <c r="A2" t="s">
        <v>44</v>
      </c>
    </row>
    <row r="3" spans="1:15" x14ac:dyDescent="0.25">
      <c r="E3" t="s">
        <v>13</v>
      </c>
      <c r="F3" s="13">
        <v>6101</v>
      </c>
      <c r="I3" t="s">
        <v>75</v>
      </c>
    </row>
    <row r="4" spans="1:15" x14ac:dyDescent="0.25">
      <c r="E4" t="s">
        <v>6</v>
      </c>
      <c r="F4" s="13" t="s">
        <v>49</v>
      </c>
    </row>
    <row r="5" spans="1:15" ht="15.75" thickBot="1" x14ac:dyDescent="0.3"/>
    <row r="6" spans="1:15" ht="30.75" thickBot="1" x14ac:dyDescent="0.3">
      <c r="A6" s="39" t="s">
        <v>1</v>
      </c>
      <c r="B6" s="45"/>
      <c r="C6" s="45">
        <v>1</v>
      </c>
      <c r="D6" s="45">
        <v>2</v>
      </c>
      <c r="E6" s="45">
        <v>3</v>
      </c>
      <c r="F6" s="45">
        <v>4</v>
      </c>
      <c r="G6" s="45"/>
      <c r="H6" s="45">
        <v>7</v>
      </c>
      <c r="I6" s="45"/>
      <c r="J6" s="51" t="s">
        <v>16</v>
      </c>
      <c r="K6" s="40" t="s">
        <v>17</v>
      </c>
    </row>
    <row r="7" spans="1:15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5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5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5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5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5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5" ht="15.75" thickBot="1" x14ac:dyDescent="0.3">
      <c r="A13" s="117"/>
      <c r="B13" s="110"/>
      <c r="C13" s="110"/>
      <c r="D13" s="110"/>
      <c r="E13" s="110"/>
      <c r="F13" s="110"/>
      <c r="G13" s="110"/>
      <c r="H13" s="110"/>
      <c r="I13" s="110"/>
      <c r="J13" s="110">
        <f>SUM(C13:I13)</f>
        <v>0</v>
      </c>
      <c r="K13" s="67">
        <f>+J13</f>
        <v>0</v>
      </c>
      <c r="L13" s="147"/>
      <c r="M13" s="148"/>
      <c r="N13" s="148"/>
      <c r="O13" s="148"/>
    </row>
    <row r="14" spans="1:15" x14ac:dyDescent="0.25">
      <c r="A14" s="109"/>
      <c r="B14" s="80"/>
      <c r="C14" s="80"/>
      <c r="D14" s="80"/>
      <c r="E14" s="80"/>
      <c r="F14" s="80"/>
      <c r="G14" s="80"/>
      <c r="H14" s="80"/>
      <c r="I14" s="80"/>
      <c r="J14" s="124">
        <f>SUM(C14:I14)</f>
        <v>0</v>
      </c>
      <c r="K14" s="12"/>
      <c r="L14" s="146"/>
    </row>
    <row r="15" spans="1:15" x14ac:dyDescent="0.25">
      <c r="A15" s="88"/>
      <c r="B15" s="217"/>
      <c r="C15" s="8"/>
      <c r="D15" s="8"/>
      <c r="E15" s="8"/>
      <c r="F15" s="8"/>
      <c r="G15" s="8"/>
      <c r="H15" s="8"/>
      <c r="I15" s="8"/>
      <c r="J15" s="364">
        <f>SUM(F15:I15)</f>
        <v>0</v>
      </c>
      <c r="K15" s="9">
        <f>K14+J15</f>
        <v>0</v>
      </c>
    </row>
    <row r="16" spans="1:15" x14ac:dyDescent="0.25">
      <c r="A16" s="85"/>
      <c r="B16" s="217"/>
      <c r="C16" s="8"/>
      <c r="D16" s="16"/>
      <c r="E16" s="16"/>
      <c r="F16" s="8"/>
      <c r="G16" s="16"/>
      <c r="H16" s="16"/>
      <c r="I16" s="16"/>
      <c r="J16" s="364">
        <f>SUM(F16:I16)</f>
        <v>0</v>
      </c>
      <c r="K16" s="9">
        <f>K15+J16</f>
        <v>0</v>
      </c>
    </row>
    <row r="17" spans="1:11" x14ac:dyDescent="0.25">
      <c r="A17" s="330"/>
      <c r="B17" s="282"/>
      <c r="C17" s="78"/>
      <c r="D17" s="78"/>
      <c r="E17" s="78"/>
      <c r="F17" s="78"/>
      <c r="G17" s="78"/>
      <c r="H17" s="78"/>
      <c r="I17" s="78"/>
      <c r="J17" s="365">
        <f>SUM(F17:I17)</f>
        <v>0</v>
      </c>
      <c r="K17" s="65">
        <f>K16+J17</f>
        <v>0</v>
      </c>
    </row>
    <row r="18" spans="1:11" x14ac:dyDescent="0.25">
      <c r="A18" s="158"/>
      <c r="B18" s="217"/>
      <c r="C18" s="8"/>
      <c r="D18" s="8"/>
      <c r="E18" s="8"/>
      <c r="F18" s="8"/>
      <c r="G18" s="8"/>
      <c r="H18" s="8"/>
      <c r="I18" s="8"/>
      <c r="J18" s="365">
        <f>SUM(F18:I18)</f>
        <v>0</v>
      </c>
      <c r="K18" s="65">
        <f>K17+J18</f>
        <v>0</v>
      </c>
    </row>
    <row r="19" spans="1:11" ht="15.75" thickBot="1" x14ac:dyDescent="0.3">
      <c r="A19" s="330"/>
      <c r="B19" s="286"/>
      <c r="C19" s="78"/>
      <c r="D19" s="78"/>
      <c r="E19" s="78"/>
      <c r="F19" s="78"/>
      <c r="G19" s="78"/>
      <c r="H19" s="78"/>
      <c r="I19" s="78"/>
      <c r="J19" s="365">
        <f>SUM(F19:I19)</f>
        <v>0</v>
      </c>
      <c r="K19" s="65">
        <f>K18+J19</f>
        <v>0</v>
      </c>
    </row>
    <row r="20" spans="1:11" ht="15.75" thickBot="1" x14ac:dyDescent="0.3">
      <c r="A20" s="349"/>
      <c r="B20" s="83"/>
      <c r="C20" s="83"/>
      <c r="D20" s="83"/>
      <c r="E20" s="83"/>
      <c r="F20" s="83"/>
      <c r="G20" s="83"/>
      <c r="H20" s="83"/>
      <c r="I20" s="83"/>
      <c r="J20" s="83">
        <f>SUM(J15:J19)</f>
        <v>0</v>
      </c>
      <c r="K20" s="149">
        <f>SUM(K19)</f>
        <v>0</v>
      </c>
    </row>
    <row r="21" spans="1:11" x14ac:dyDescent="0.25">
      <c r="A21" s="369"/>
      <c r="B21" s="81"/>
      <c r="C21" s="81"/>
      <c r="D21" s="81"/>
      <c r="E21" s="80"/>
      <c r="F21" s="81"/>
      <c r="G21" s="81"/>
      <c r="H21" s="81"/>
      <c r="I21" s="81"/>
      <c r="J21" s="81"/>
      <c r="K21" s="100"/>
    </row>
    <row r="22" spans="1:11" ht="15.75" thickBot="1" x14ac:dyDescent="0.3">
      <c r="A22" s="95"/>
      <c r="B22" s="10"/>
      <c r="C22" s="10"/>
      <c r="D22" s="3"/>
      <c r="E22" s="3"/>
      <c r="F22" s="3"/>
      <c r="G22" s="3"/>
      <c r="H22" s="3"/>
      <c r="I22" s="3"/>
      <c r="J22" s="10"/>
      <c r="K22" s="9"/>
    </row>
    <row r="23" spans="1:11" ht="15.75" thickBot="1" x14ac:dyDescent="0.3">
      <c r="A23" s="36" t="s">
        <v>0</v>
      </c>
      <c r="B23" s="15">
        <v>0</v>
      </c>
      <c r="C23" s="15">
        <f>SUM(C21:C22)</f>
        <v>0</v>
      </c>
      <c r="D23" s="37">
        <v>0</v>
      </c>
      <c r="E23" s="41"/>
      <c r="F23" s="38"/>
      <c r="G23" s="15">
        <v>0</v>
      </c>
      <c r="H23" s="15">
        <v>0</v>
      </c>
      <c r="I23" s="15">
        <v>0</v>
      </c>
      <c r="J23" s="15">
        <f>SUM(J21:J22)</f>
        <v>0</v>
      </c>
      <c r="K23" s="14">
        <f>+K19</f>
        <v>0</v>
      </c>
    </row>
    <row r="24" spans="1:11" x14ac:dyDescent="0.25">
      <c r="A24" t="s">
        <v>5</v>
      </c>
    </row>
    <row r="26" spans="1:11" x14ac:dyDescent="0.25">
      <c r="A26" s="98" t="s">
        <v>67</v>
      </c>
      <c r="B26" s="98"/>
      <c r="C26" s="98"/>
      <c r="D26" s="98"/>
      <c r="E26" s="98"/>
      <c r="F26" s="327">
        <f>+F7-F20</f>
        <v>0</v>
      </c>
      <c r="G26" s="327">
        <f>+G7-G23</f>
        <v>0</v>
      </c>
      <c r="H26" s="327">
        <f>+H7-H23</f>
        <v>0</v>
      </c>
      <c r="I26" s="327">
        <f>+I7-I23</f>
        <v>0</v>
      </c>
      <c r="J26" s="327"/>
      <c r="K26" s="327">
        <f>+K7-K23</f>
        <v>0</v>
      </c>
    </row>
  </sheetData>
  <mergeCells count="1">
    <mergeCell ref="B12:K12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52"/>
  <sheetViews>
    <sheetView view="pageLayout" topLeftCell="A142" zoomScaleNormal="100" workbookViewId="0">
      <selection activeCell="F145" sqref="F145"/>
    </sheetView>
  </sheetViews>
  <sheetFormatPr baseColWidth="10" defaultColWidth="11.42578125" defaultRowHeight="15" x14ac:dyDescent="0.25"/>
  <cols>
    <col min="1" max="1" width="12.7109375" customWidth="1"/>
    <col min="2" max="2" width="10.42578125" customWidth="1"/>
    <col min="3" max="3" width="12.5703125" customWidth="1"/>
    <col min="4" max="4" width="11" customWidth="1"/>
    <col min="6" max="6" width="11.7109375" bestFit="1" customWidth="1"/>
    <col min="7" max="7" width="11.5703125" customWidth="1"/>
    <col min="8" max="8" width="9.85546875" customWidth="1"/>
    <col min="9" max="9" width="13" customWidth="1"/>
    <col min="10" max="10" width="12.5703125" customWidth="1"/>
    <col min="11" max="11" width="13.28515625" customWidth="1"/>
    <col min="12" max="12" width="11.7109375" bestFit="1" customWidth="1"/>
    <col min="13" max="13" width="12.425781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6133</v>
      </c>
      <c r="I3" t="s">
        <v>75</v>
      </c>
    </row>
    <row r="4" spans="1:11" ht="15.75" thickBot="1" x14ac:dyDescent="0.3">
      <c r="E4" t="s">
        <v>6</v>
      </c>
      <c r="F4" s="13" t="s">
        <v>29</v>
      </c>
    </row>
    <row r="5" spans="1:11" ht="30.75" thickBot="1" x14ac:dyDescent="0.3">
      <c r="A5" s="39" t="s">
        <v>1</v>
      </c>
      <c r="B5" s="41"/>
      <c r="C5" s="42">
        <v>1</v>
      </c>
      <c r="D5" s="41">
        <v>2</v>
      </c>
      <c r="E5" s="41">
        <v>3</v>
      </c>
      <c r="F5" s="41">
        <v>4</v>
      </c>
      <c r="G5" s="41">
        <v>5</v>
      </c>
      <c r="H5" s="41">
        <v>6</v>
      </c>
      <c r="I5" s="41">
        <v>7</v>
      </c>
      <c r="J5" s="43" t="s">
        <v>16</v>
      </c>
      <c r="K5" s="40" t="s">
        <v>17</v>
      </c>
    </row>
    <row r="6" spans="1:11" ht="29.25" customHeight="1" x14ac:dyDescent="0.25">
      <c r="A6" s="30" t="s">
        <v>18</v>
      </c>
      <c r="B6" s="24"/>
      <c r="C6" s="26">
        <v>3960000</v>
      </c>
      <c r="D6" s="26">
        <v>441000</v>
      </c>
      <c r="E6" s="26"/>
      <c r="F6" s="26">
        <v>3000000</v>
      </c>
      <c r="G6" s="26">
        <v>1176000</v>
      </c>
      <c r="H6" s="26"/>
      <c r="I6" s="26">
        <v>6901000</v>
      </c>
      <c r="J6" s="28">
        <f>SUM(C6:I6)</f>
        <v>15478000</v>
      </c>
      <c r="K6" s="29">
        <f>J6</f>
        <v>15478000</v>
      </c>
    </row>
    <row r="7" spans="1:11" ht="39" x14ac:dyDescent="0.25">
      <c r="A7" s="31" t="s">
        <v>19</v>
      </c>
      <c r="B7" s="20"/>
      <c r="C7" s="21"/>
      <c r="D7" s="22"/>
      <c r="E7" s="21"/>
      <c r="F7" s="21"/>
      <c r="G7" s="21"/>
      <c r="H7" s="21"/>
      <c r="I7" s="21"/>
      <c r="J7" s="22">
        <f>SUM(B7:I7)</f>
        <v>0</v>
      </c>
      <c r="K7" s="23"/>
    </row>
    <row r="8" spans="1:11" x14ac:dyDescent="0.25">
      <c r="A8" s="32" t="s">
        <v>2</v>
      </c>
      <c r="B8" s="6"/>
      <c r="C8" s="19"/>
      <c r="D8" s="19"/>
      <c r="E8" s="19"/>
      <c r="F8" s="19"/>
      <c r="G8" s="19"/>
      <c r="H8" s="19"/>
      <c r="I8" s="19"/>
      <c r="J8" s="19">
        <v>0</v>
      </c>
      <c r="K8" s="23">
        <f>K7+J8</f>
        <v>0</v>
      </c>
    </row>
    <row r="9" spans="1:11" x14ac:dyDescent="0.25">
      <c r="A9" s="32" t="s">
        <v>3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ht="27" thickBot="1" x14ac:dyDescent="0.3">
      <c r="A10" s="33" t="s">
        <v>20</v>
      </c>
      <c r="B10" s="25">
        <f t="shared" ref="B10:J10" si="0">SUM(B6:B9)</f>
        <v>0</v>
      </c>
      <c r="C10" s="27">
        <f t="shared" si="0"/>
        <v>3960000</v>
      </c>
      <c r="D10" s="27">
        <f t="shared" si="0"/>
        <v>441000</v>
      </c>
      <c r="E10" s="27">
        <f t="shared" si="0"/>
        <v>0</v>
      </c>
      <c r="F10" s="27">
        <f t="shared" si="0"/>
        <v>3000000</v>
      </c>
      <c r="G10" s="27">
        <f t="shared" si="0"/>
        <v>1176000</v>
      </c>
      <c r="H10" s="27">
        <f t="shared" si="0"/>
        <v>0</v>
      </c>
      <c r="I10" s="27">
        <f t="shared" si="0"/>
        <v>6901000</v>
      </c>
      <c r="J10" s="27">
        <f t="shared" si="0"/>
        <v>15478000</v>
      </c>
      <c r="K10" s="23">
        <f>K9+J10</f>
        <v>15478000</v>
      </c>
    </row>
    <row r="11" spans="1:11" ht="27" thickBot="1" x14ac:dyDescent="0.3">
      <c r="A11" s="46" t="s">
        <v>21</v>
      </c>
      <c r="B11" s="570" t="s">
        <v>4</v>
      </c>
      <c r="C11" s="571"/>
      <c r="D11" s="571"/>
      <c r="E11" s="571"/>
      <c r="F11" s="571"/>
      <c r="G11" s="571"/>
      <c r="H11" s="571"/>
      <c r="I11" s="571"/>
      <c r="J11" s="571"/>
      <c r="K11" s="572"/>
    </row>
    <row r="12" spans="1:11" ht="15.75" thickBot="1" x14ac:dyDescent="0.3">
      <c r="A12" s="398" t="s">
        <v>100</v>
      </c>
      <c r="B12" s="59"/>
      <c r="C12" s="516">
        <v>181416</v>
      </c>
      <c r="D12" s="516"/>
      <c r="E12" s="59"/>
      <c r="F12" s="59"/>
      <c r="G12" s="59"/>
      <c r="H12" s="59"/>
      <c r="I12" s="59"/>
      <c r="J12" s="59">
        <f>SUM(B12:I12)</f>
        <v>181416</v>
      </c>
      <c r="K12" s="149">
        <f>J12</f>
        <v>181416</v>
      </c>
    </row>
    <row r="13" spans="1:11" x14ac:dyDescent="0.25">
      <c r="A13" s="400" t="s">
        <v>83</v>
      </c>
      <c r="B13" s="8"/>
      <c r="C13" s="236">
        <v>90708</v>
      </c>
      <c r="D13" s="236"/>
      <c r="E13" s="8"/>
      <c r="F13" s="8"/>
      <c r="G13" s="8"/>
      <c r="H13" s="8"/>
      <c r="I13" s="8"/>
      <c r="J13" s="8">
        <f t="shared" ref="J13:J20" si="1">SUM(B13:I13)</f>
        <v>90708</v>
      </c>
      <c r="K13" s="122">
        <f>K12+J13</f>
        <v>272124</v>
      </c>
    </row>
    <row r="14" spans="1:11" x14ac:dyDescent="0.25">
      <c r="A14" s="92" t="s">
        <v>102</v>
      </c>
      <c r="B14" s="8"/>
      <c r="C14" s="236">
        <v>3351</v>
      </c>
      <c r="D14" s="236"/>
      <c r="E14" s="8"/>
      <c r="F14" s="8"/>
      <c r="G14" s="8"/>
      <c r="H14" s="8"/>
      <c r="I14" s="150"/>
      <c r="J14" s="8">
        <f t="shared" si="1"/>
        <v>3351</v>
      </c>
      <c r="K14" s="122">
        <f t="shared" ref="K14:K19" si="2">K13+J14</f>
        <v>275475</v>
      </c>
    </row>
    <row r="15" spans="1:11" x14ac:dyDescent="0.25">
      <c r="A15" s="92" t="s">
        <v>107</v>
      </c>
      <c r="B15" s="8"/>
      <c r="C15" s="236">
        <v>14085</v>
      </c>
      <c r="D15" s="236"/>
      <c r="E15" s="8"/>
      <c r="F15" s="8"/>
      <c r="G15" s="8"/>
      <c r="H15" s="8"/>
      <c r="I15" s="8"/>
      <c r="J15" s="8">
        <f t="shared" si="1"/>
        <v>14085</v>
      </c>
      <c r="K15" s="122">
        <f t="shared" si="2"/>
        <v>289560</v>
      </c>
    </row>
    <row r="16" spans="1:11" x14ac:dyDescent="0.25">
      <c r="A16" s="156" t="s">
        <v>112</v>
      </c>
      <c r="B16" s="64"/>
      <c r="C16" s="280"/>
      <c r="D16" s="280">
        <v>32445</v>
      </c>
      <c r="E16" s="64"/>
      <c r="F16" s="64"/>
      <c r="G16" s="64"/>
      <c r="H16" s="64"/>
      <c r="I16" s="64"/>
      <c r="J16" s="8">
        <f t="shared" si="1"/>
        <v>32445</v>
      </c>
      <c r="K16" s="122">
        <f t="shared" si="2"/>
        <v>322005</v>
      </c>
    </row>
    <row r="17" spans="1:11" x14ac:dyDescent="0.25">
      <c r="A17" s="156" t="s">
        <v>128</v>
      </c>
      <c r="B17" s="64"/>
      <c r="C17" s="280">
        <v>181416</v>
      </c>
      <c r="D17" s="280"/>
      <c r="E17" s="64"/>
      <c r="F17" s="64"/>
      <c r="G17" s="64"/>
      <c r="H17" s="64"/>
      <c r="I17" s="64"/>
      <c r="J17" s="8">
        <f t="shared" si="1"/>
        <v>181416</v>
      </c>
      <c r="K17" s="122">
        <f t="shared" si="2"/>
        <v>503421</v>
      </c>
    </row>
    <row r="18" spans="1:11" x14ac:dyDescent="0.25">
      <c r="A18" s="156" t="s">
        <v>129</v>
      </c>
      <c r="B18" s="64"/>
      <c r="C18" s="280">
        <v>90708</v>
      </c>
      <c r="D18" s="280"/>
      <c r="E18" s="282" t="s">
        <v>137</v>
      </c>
      <c r="F18" s="64"/>
      <c r="G18" s="64"/>
      <c r="H18" s="64"/>
      <c r="I18" s="64"/>
      <c r="J18" s="8">
        <f t="shared" si="1"/>
        <v>90708</v>
      </c>
      <c r="K18" s="122">
        <f t="shared" si="2"/>
        <v>594129</v>
      </c>
    </row>
    <row r="19" spans="1:11" x14ac:dyDescent="0.25">
      <c r="A19" s="156" t="s">
        <v>136</v>
      </c>
      <c r="B19" s="64"/>
      <c r="C19" s="280">
        <v>3351</v>
      </c>
      <c r="D19" s="280"/>
      <c r="E19" s="64"/>
      <c r="F19" s="64"/>
      <c r="G19" s="64"/>
      <c r="H19" s="64"/>
      <c r="I19" s="64"/>
      <c r="J19" s="8">
        <f t="shared" si="1"/>
        <v>3351</v>
      </c>
      <c r="K19" s="122">
        <f t="shared" si="2"/>
        <v>597480</v>
      </c>
    </row>
    <row r="20" spans="1:11" x14ac:dyDescent="0.25">
      <c r="A20" s="92" t="s">
        <v>140</v>
      </c>
      <c r="B20" s="8"/>
      <c r="C20" s="236">
        <v>14085</v>
      </c>
      <c r="D20" s="236"/>
      <c r="E20" s="8"/>
      <c r="F20" s="8"/>
      <c r="G20" s="8"/>
      <c r="H20" s="8"/>
      <c r="I20" s="8"/>
      <c r="J20" s="8">
        <f t="shared" si="1"/>
        <v>14085</v>
      </c>
      <c r="K20" s="9">
        <f>K19+J20</f>
        <v>611565</v>
      </c>
    </row>
    <row r="21" spans="1:11" ht="15.75" thickBot="1" x14ac:dyDescent="0.3">
      <c r="A21" s="427" t="s">
        <v>143</v>
      </c>
      <c r="B21" s="78"/>
      <c r="C21" s="387"/>
      <c r="D21" s="387">
        <v>32445</v>
      </c>
      <c r="E21" s="78"/>
      <c r="F21" s="78"/>
      <c r="G21" s="78"/>
      <c r="H21" s="78"/>
      <c r="I21" s="78"/>
      <c r="J21" s="78">
        <f>SUM(C21:I21)</f>
        <v>32445</v>
      </c>
      <c r="K21" s="428">
        <f>K20+J21</f>
        <v>644010</v>
      </c>
    </row>
    <row r="22" spans="1:11" ht="15.75" thickBot="1" x14ac:dyDescent="0.3">
      <c r="A22" s="188" t="s">
        <v>51</v>
      </c>
      <c r="B22" s="83"/>
      <c r="C22" s="83">
        <f>SUM(C12:C21)</f>
        <v>579120</v>
      </c>
      <c r="D22" s="83">
        <f t="shared" ref="D22:J22" si="3">SUM(D12:D21)</f>
        <v>64890</v>
      </c>
      <c r="E22" s="83">
        <f t="shared" si="3"/>
        <v>0</v>
      </c>
      <c r="F22" s="83">
        <f t="shared" si="3"/>
        <v>0</v>
      </c>
      <c r="G22" s="83">
        <f t="shared" si="3"/>
        <v>0</v>
      </c>
      <c r="H22" s="83">
        <f t="shared" si="3"/>
        <v>0</v>
      </c>
      <c r="I22" s="83">
        <f t="shared" si="3"/>
        <v>0</v>
      </c>
      <c r="J22" s="83">
        <f t="shared" si="3"/>
        <v>644010</v>
      </c>
      <c r="K22" s="429">
        <f>+K21</f>
        <v>644010</v>
      </c>
    </row>
    <row r="23" spans="1:11" x14ac:dyDescent="0.25">
      <c r="A23" s="468" t="s">
        <v>207</v>
      </c>
      <c r="B23" s="57"/>
      <c r="C23" s="57">
        <v>90708</v>
      </c>
      <c r="D23" s="81"/>
      <c r="E23" s="81"/>
      <c r="F23" s="81"/>
      <c r="G23" s="81"/>
      <c r="H23" s="81"/>
      <c r="I23" s="81"/>
      <c r="J23" s="81">
        <f>SUM(C23:I23)</f>
        <v>90708</v>
      </c>
      <c r="K23" s="100">
        <f>+K21+J23</f>
        <v>734718</v>
      </c>
    </row>
    <row r="24" spans="1:11" ht="15.75" thickBot="1" x14ac:dyDescent="0.3">
      <c r="A24" s="467" t="s">
        <v>208</v>
      </c>
      <c r="B24" s="243"/>
      <c r="C24" s="81">
        <v>90708</v>
      </c>
      <c r="D24" s="70"/>
      <c r="E24" s="70"/>
      <c r="F24" s="70"/>
      <c r="G24" s="70"/>
      <c r="H24" s="70"/>
      <c r="I24" s="70"/>
      <c r="J24" s="78">
        <f>SUM(C24:I24)</f>
        <v>90708</v>
      </c>
      <c r="K24" s="65">
        <f>+K23+J24</f>
        <v>825426</v>
      </c>
    </row>
    <row r="25" spans="1:11" ht="15.75" customHeight="1" thickBot="1" x14ac:dyDescent="0.3">
      <c r="A25" s="164" t="s">
        <v>0</v>
      </c>
      <c r="B25" s="83">
        <v>0</v>
      </c>
      <c r="C25" s="83">
        <f t="shared" ref="C25:I25" si="4">SUM(C22:C24)</f>
        <v>760536</v>
      </c>
      <c r="D25" s="83">
        <f t="shared" si="4"/>
        <v>64890</v>
      </c>
      <c r="E25" s="83">
        <f t="shared" si="4"/>
        <v>0</v>
      </c>
      <c r="F25" s="83">
        <f t="shared" si="4"/>
        <v>0</v>
      </c>
      <c r="G25" s="83">
        <f t="shared" si="4"/>
        <v>0</v>
      </c>
      <c r="H25" s="83">
        <f t="shared" si="4"/>
        <v>0</v>
      </c>
      <c r="I25" s="83">
        <f t="shared" si="4"/>
        <v>0</v>
      </c>
      <c r="J25" s="83">
        <f>SUM(J23:J24)</f>
        <v>181416</v>
      </c>
      <c r="K25" s="149">
        <f>+K24</f>
        <v>825426</v>
      </c>
    </row>
    <row r="26" spans="1:11" ht="18" customHeight="1" x14ac:dyDescent="0.25">
      <c r="A26" t="s">
        <v>5</v>
      </c>
    </row>
    <row r="27" spans="1:11" ht="21.75" customHeight="1" x14ac:dyDescent="0.25"/>
    <row r="28" spans="1:11" x14ac:dyDescent="0.25">
      <c r="A28" t="s">
        <v>9</v>
      </c>
      <c r="E28" t="s">
        <v>50</v>
      </c>
      <c r="I28" t="s">
        <v>45</v>
      </c>
    </row>
    <row r="29" spans="1:11" x14ac:dyDescent="0.25">
      <c r="A29" t="s">
        <v>44</v>
      </c>
    </row>
    <row r="30" spans="1:11" x14ac:dyDescent="0.25">
      <c r="E30" t="s">
        <v>13</v>
      </c>
      <c r="F30" s="13">
        <v>6133</v>
      </c>
      <c r="I30" t="s">
        <v>75</v>
      </c>
    </row>
    <row r="31" spans="1:11" x14ac:dyDescent="0.25">
      <c r="E31" t="s">
        <v>6</v>
      </c>
      <c r="F31" s="13" t="s">
        <v>7</v>
      </c>
    </row>
    <row r="32" spans="1:11" ht="15.75" thickBot="1" x14ac:dyDescent="0.3"/>
    <row r="33" spans="1:11" ht="30.75" thickBot="1" x14ac:dyDescent="0.3">
      <c r="A33" s="75" t="s">
        <v>42</v>
      </c>
      <c r="B33" s="4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>
        <v>6</v>
      </c>
      <c r="I33" s="45">
        <v>7</v>
      </c>
      <c r="J33" s="51" t="s">
        <v>16</v>
      </c>
      <c r="K33" s="40" t="s">
        <v>17</v>
      </c>
    </row>
    <row r="34" spans="1:11" x14ac:dyDescent="0.25">
      <c r="A34" s="76" t="s">
        <v>43</v>
      </c>
      <c r="B34" s="35"/>
      <c r="C34" s="35">
        <f>+C25</f>
        <v>760536</v>
      </c>
      <c r="D34" s="35">
        <f t="shared" ref="D34:K34" si="5">+D25</f>
        <v>64890</v>
      </c>
      <c r="E34" s="35">
        <f t="shared" si="5"/>
        <v>0</v>
      </c>
      <c r="F34" s="35">
        <f t="shared" si="5"/>
        <v>0</v>
      </c>
      <c r="G34" s="35">
        <f t="shared" si="5"/>
        <v>0</v>
      </c>
      <c r="H34" s="35">
        <f t="shared" si="5"/>
        <v>0</v>
      </c>
      <c r="I34" s="35">
        <f t="shared" si="5"/>
        <v>0</v>
      </c>
      <c r="J34" s="35">
        <f t="shared" si="5"/>
        <v>181416</v>
      </c>
      <c r="K34" s="35">
        <f t="shared" si="5"/>
        <v>825426</v>
      </c>
    </row>
    <row r="35" spans="1:11" x14ac:dyDescent="0.25">
      <c r="A35" s="62" t="s">
        <v>209</v>
      </c>
      <c r="B35" s="178"/>
      <c r="C35" s="8">
        <v>90708</v>
      </c>
      <c r="D35" s="8"/>
      <c r="E35" s="8"/>
      <c r="F35" s="8"/>
      <c r="G35" s="8"/>
      <c r="H35" s="8"/>
      <c r="I35" s="163"/>
      <c r="J35" s="234">
        <f t="shared" ref="J35:J45" si="6">SUM(C35:I35)</f>
        <v>90708</v>
      </c>
      <c r="K35" s="8">
        <f>+K34+J35</f>
        <v>916134</v>
      </c>
    </row>
    <row r="36" spans="1:11" x14ac:dyDescent="0.25">
      <c r="A36" s="62" t="s">
        <v>217</v>
      </c>
      <c r="B36" s="178"/>
      <c r="C36" s="8">
        <v>3351</v>
      </c>
      <c r="D36" s="8"/>
      <c r="E36" s="8"/>
      <c r="F36" s="163"/>
      <c r="G36" s="8"/>
      <c r="H36" s="8"/>
      <c r="I36" s="8"/>
      <c r="J36" s="234">
        <f t="shared" si="6"/>
        <v>3351</v>
      </c>
      <c r="K36" s="8">
        <f>+K35+J36</f>
        <v>919485</v>
      </c>
    </row>
    <row r="37" spans="1:11" x14ac:dyDescent="0.25">
      <c r="A37" s="79" t="s">
        <v>223</v>
      </c>
      <c r="B37" s="240"/>
      <c r="C37" s="80">
        <v>14085</v>
      </c>
      <c r="D37" s="80"/>
      <c r="E37" s="80"/>
      <c r="F37" s="80"/>
      <c r="G37" s="80"/>
      <c r="H37" s="80"/>
      <c r="I37" s="80"/>
      <c r="J37" s="241">
        <f t="shared" si="6"/>
        <v>14085</v>
      </c>
      <c r="K37" s="8">
        <f>+K36+J37</f>
        <v>933570</v>
      </c>
    </row>
    <row r="38" spans="1:11" ht="15.75" thickBot="1" x14ac:dyDescent="0.3">
      <c r="A38" s="222" t="s">
        <v>229</v>
      </c>
      <c r="B38" s="238"/>
      <c r="C38" s="194"/>
      <c r="D38" s="194">
        <v>32445</v>
      </c>
      <c r="E38" s="194"/>
      <c r="F38" s="194"/>
      <c r="G38" s="194"/>
      <c r="H38" s="194"/>
      <c r="I38" s="194"/>
      <c r="J38" s="239">
        <f t="shared" si="6"/>
        <v>32445</v>
      </c>
      <c r="K38" s="10">
        <f>+K37+J38</f>
        <v>966015</v>
      </c>
    </row>
    <row r="39" spans="1:11" x14ac:dyDescent="0.25">
      <c r="A39" s="469" t="s">
        <v>370</v>
      </c>
      <c r="B39" s="470"/>
      <c r="C39" s="266">
        <f>SUM(C34:C38)</f>
        <v>868680</v>
      </c>
      <c r="D39" s="266">
        <f t="shared" ref="D39:I39" si="7">SUM(D34:D38)</f>
        <v>97335</v>
      </c>
      <c r="E39" s="266">
        <f t="shared" si="7"/>
        <v>0</v>
      </c>
      <c r="F39" s="266">
        <f t="shared" si="7"/>
        <v>0</v>
      </c>
      <c r="G39" s="246">
        <f t="shared" si="7"/>
        <v>0</v>
      </c>
      <c r="H39" s="246">
        <f t="shared" si="7"/>
        <v>0</v>
      </c>
      <c r="I39" s="266">
        <f t="shared" si="7"/>
        <v>0</v>
      </c>
      <c r="J39" s="471">
        <f>SUM(J34:J38)</f>
        <v>322005</v>
      </c>
      <c r="K39" s="472">
        <f>+K38</f>
        <v>966015</v>
      </c>
    </row>
    <row r="40" spans="1:11" x14ac:dyDescent="0.25">
      <c r="A40" s="183" t="s">
        <v>277</v>
      </c>
      <c r="B40" s="184"/>
      <c r="C40" s="176">
        <v>90708</v>
      </c>
      <c r="D40" s="176"/>
      <c r="E40" s="176"/>
      <c r="F40" s="176"/>
      <c r="G40" s="176"/>
      <c r="H40" s="176"/>
      <c r="I40" s="176"/>
      <c r="J40" s="237">
        <f t="shared" si="6"/>
        <v>90708</v>
      </c>
      <c r="K40" s="9">
        <f t="shared" ref="K40:K45" si="8">K39+J40</f>
        <v>1056723</v>
      </c>
    </row>
    <row r="41" spans="1:11" x14ac:dyDescent="0.25">
      <c r="A41" s="229" t="s">
        <v>278</v>
      </c>
      <c r="B41" s="244"/>
      <c r="C41" s="258">
        <v>90708</v>
      </c>
      <c r="D41" s="231"/>
      <c r="E41" s="231"/>
      <c r="F41" s="231"/>
      <c r="G41" s="231"/>
      <c r="H41" s="231"/>
      <c r="I41" s="231"/>
      <c r="J41" s="237">
        <f t="shared" si="6"/>
        <v>90708</v>
      </c>
      <c r="K41" s="9">
        <f t="shared" si="8"/>
        <v>1147431</v>
      </c>
    </row>
    <row r="42" spans="1:11" x14ac:dyDescent="0.25">
      <c r="A42" s="227" t="s">
        <v>279</v>
      </c>
      <c r="B42" s="235"/>
      <c r="C42" s="203">
        <v>90708</v>
      </c>
      <c r="D42" s="223"/>
      <c r="E42" s="203"/>
      <c r="F42" s="203"/>
      <c r="G42" s="203"/>
      <c r="H42" s="223"/>
      <c r="I42" s="223"/>
      <c r="J42" s="237">
        <f t="shared" si="6"/>
        <v>90708</v>
      </c>
      <c r="K42" s="9">
        <f t="shared" si="8"/>
        <v>1238139</v>
      </c>
    </row>
    <row r="43" spans="1:11" x14ac:dyDescent="0.25">
      <c r="A43" s="227" t="s">
        <v>287</v>
      </c>
      <c r="B43" s="235"/>
      <c r="C43" s="203">
        <v>3351</v>
      </c>
      <c r="D43" s="223"/>
      <c r="E43" s="203"/>
      <c r="F43" s="203"/>
      <c r="G43" s="203"/>
      <c r="H43" s="223"/>
      <c r="I43" s="223"/>
      <c r="J43" s="237">
        <f t="shared" si="6"/>
        <v>3351</v>
      </c>
      <c r="K43" s="9">
        <f t="shared" si="8"/>
        <v>1241490</v>
      </c>
    </row>
    <row r="44" spans="1:11" x14ac:dyDescent="0.25">
      <c r="A44" s="227" t="s">
        <v>293</v>
      </c>
      <c r="B44" s="235"/>
      <c r="C44" s="203">
        <v>14085</v>
      </c>
      <c r="D44" s="203"/>
      <c r="E44" s="203"/>
      <c r="F44" s="203"/>
      <c r="G44" s="203"/>
      <c r="H44" s="203"/>
      <c r="I44" s="203"/>
      <c r="J44" s="237">
        <f t="shared" si="6"/>
        <v>14085</v>
      </c>
      <c r="K44" s="9">
        <f t="shared" si="8"/>
        <v>1255575</v>
      </c>
    </row>
    <row r="45" spans="1:11" ht="15.75" thickBot="1" x14ac:dyDescent="0.3">
      <c r="A45" s="213" t="s">
        <v>299</v>
      </c>
      <c r="B45" s="247"/>
      <c r="C45" s="214"/>
      <c r="D45" s="214">
        <v>32445</v>
      </c>
      <c r="E45" s="214"/>
      <c r="F45" s="214"/>
      <c r="G45" s="214"/>
      <c r="H45" s="248"/>
      <c r="I45" s="248"/>
      <c r="J45" s="239">
        <f t="shared" si="6"/>
        <v>32445</v>
      </c>
      <c r="K45" s="11">
        <f t="shared" si="8"/>
        <v>1288020</v>
      </c>
    </row>
    <row r="46" spans="1:11" x14ac:dyDescent="0.25">
      <c r="A46" s="79" t="s">
        <v>59</v>
      </c>
      <c r="B46" s="181"/>
      <c r="C46" s="80">
        <f>SUM(C39:C45)</f>
        <v>1158240</v>
      </c>
      <c r="D46" s="80">
        <f t="shared" ref="D46:I46" si="9">SUM(D39:D45)</f>
        <v>129780</v>
      </c>
      <c r="E46" s="35">
        <f t="shared" si="9"/>
        <v>0</v>
      </c>
      <c r="F46" s="80">
        <f t="shared" si="9"/>
        <v>0</v>
      </c>
      <c r="G46" s="80">
        <f t="shared" si="9"/>
        <v>0</v>
      </c>
      <c r="H46" s="80">
        <f t="shared" si="9"/>
        <v>0</v>
      </c>
      <c r="I46" s="80">
        <f t="shared" si="9"/>
        <v>0</v>
      </c>
      <c r="J46" s="35">
        <f>SUM(J40:J45)</f>
        <v>322005</v>
      </c>
      <c r="K46" s="12">
        <f>SUM(K45)</f>
        <v>1288020</v>
      </c>
    </row>
    <row r="47" spans="1:11" x14ac:dyDescent="0.25">
      <c r="A47" s="62" t="s">
        <v>346</v>
      </c>
      <c r="B47" s="178"/>
      <c r="C47" s="8">
        <v>90708</v>
      </c>
      <c r="D47" s="16"/>
      <c r="E47" s="16"/>
      <c r="F47" s="16"/>
      <c r="G47" s="16"/>
      <c r="H47" s="16"/>
      <c r="I47" s="16"/>
      <c r="J47" s="8">
        <f>SUM(C47:I47)</f>
        <v>90708</v>
      </c>
      <c r="K47" s="9">
        <f t="shared" ref="K47:K52" si="10">+K46+J47</f>
        <v>1378728</v>
      </c>
    </row>
    <row r="48" spans="1:11" x14ac:dyDescent="0.25">
      <c r="A48" s="62" t="s">
        <v>347</v>
      </c>
      <c r="B48" s="178"/>
      <c r="C48" s="8">
        <v>90708</v>
      </c>
      <c r="D48" s="16"/>
      <c r="E48" s="8"/>
      <c r="F48" s="16"/>
      <c r="G48" s="16"/>
      <c r="H48" s="16"/>
      <c r="I48" s="16"/>
      <c r="J48" s="8">
        <f t="shared" ref="J48:J54" si="11">SUM(C48:I48)</f>
        <v>90708</v>
      </c>
      <c r="K48" s="9">
        <f t="shared" si="10"/>
        <v>1469436</v>
      </c>
    </row>
    <row r="49" spans="1:11" x14ac:dyDescent="0.25">
      <c r="A49" s="61" t="s">
        <v>348</v>
      </c>
      <c r="B49" s="178"/>
      <c r="C49" s="8">
        <v>90708</v>
      </c>
      <c r="D49" s="8"/>
      <c r="E49" s="8"/>
      <c r="F49" s="8"/>
      <c r="G49" s="8"/>
      <c r="H49" s="8"/>
      <c r="I49" s="8"/>
      <c r="J49" s="8">
        <f t="shared" si="11"/>
        <v>90708</v>
      </c>
      <c r="K49" s="9">
        <f t="shared" si="10"/>
        <v>1560144</v>
      </c>
    </row>
    <row r="50" spans="1:11" x14ac:dyDescent="0.25">
      <c r="A50" s="145" t="s">
        <v>356</v>
      </c>
      <c r="B50" s="243"/>
      <c r="C50" s="81">
        <v>3351</v>
      </c>
      <c r="D50" s="81"/>
      <c r="E50" s="80"/>
      <c r="F50" s="80"/>
      <c r="G50" s="80"/>
      <c r="H50" s="80"/>
      <c r="I50" s="80"/>
      <c r="J50" s="8">
        <f t="shared" si="11"/>
        <v>3351</v>
      </c>
      <c r="K50" s="9">
        <f t="shared" si="10"/>
        <v>1563495</v>
      </c>
    </row>
    <row r="51" spans="1:11" x14ac:dyDescent="0.25">
      <c r="A51" s="145" t="s">
        <v>362</v>
      </c>
      <c r="B51" s="178"/>
      <c r="C51" s="81">
        <v>14085</v>
      </c>
      <c r="D51" s="81"/>
      <c r="E51" s="81"/>
      <c r="F51" s="81"/>
      <c r="G51" s="81"/>
      <c r="H51" s="81"/>
      <c r="I51" s="81"/>
      <c r="J51" s="8">
        <f t="shared" si="11"/>
        <v>14085</v>
      </c>
      <c r="K51" s="9">
        <f t="shared" si="10"/>
        <v>1577580</v>
      </c>
    </row>
    <row r="52" spans="1:11" ht="15.75" thickBot="1" x14ac:dyDescent="0.3">
      <c r="A52" s="73" t="s">
        <v>368</v>
      </c>
      <c r="B52" s="182"/>
      <c r="C52" s="10"/>
      <c r="D52" s="10">
        <v>32445</v>
      </c>
      <c r="E52" s="10"/>
      <c r="F52" s="10"/>
      <c r="G52" s="10"/>
      <c r="H52" s="10"/>
      <c r="I52" s="10"/>
      <c r="J52" s="10">
        <f t="shared" si="11"/>
        <v>32445</v>
      </c>
      <c r="K52" s="11">
        <f t="shared" si="10"/>
        <v>1610025</v>
      </c>
    </row>
    <row r="53" spans="1:11" x14ac:dyDescent="0.25">
      <c r="A53" s="204" t="s">
        <v>60</v>
      </c>
      <c r="B53" s="296"/>
      <c r="C53" s="124">
        <f>SUM(C46:C52)</f>
        <v>1447800</v>
      </c>
      <c r="D53" s="124">
        <f t="shared" ref="D53:I53" si="12">SUM(D46:D52)</f>
        <v>162225</v>
      </c>
      <c r="E53" s="124">
        <f t="shared" si="12"/>
        <v>0</v>
      </c>
      <c r="F53" s="124">
        <f t="shared" si="12"/>
        <v>0</v>
      </c>
      <c r="G53" s="124">
        <f t="shared" si="12"/>
        <v>0</v>
      </c>
      <c r="H53" s="124">
        <f t="shared" si="12"/>
        <v>0</v>
      </c>
      <c r="I53" s="124">
        <f t="shared" si="12"/>
        <v>0</v>
      </c>
      <c r="J53" s="124">
        <f>SUM(J47:J52)</f>
        <v>322005</v>
      </c>
      <c r="K53" s="128">
        <f>+K52</f>
        <v>1610025</v>
      </c>
    </row>
    <row r="54" spans="1:11" ht="15.75" thickBot="1" x14ac:dyDescent="0.3">
      <c r="A54" s="73" t="s">
        <v>414</v>
      </c>
      <c r="B54" s="182"/>
      <c r="C54" s="10">
        <v>90708</v>
      </c>
      <c r="D54" s="3"/>
      <c r="E54" s="3"/>
      <c r="F54" s="3"/>
      <c r="G54" s="3"/>
      <c r="H54" s="3"/>
      <c r="I54" s="3"/>
      <c r="J54" s="10">
        <f t="shared" si="11"/>
        <v>90708</v>
      </c>
      <c r="K54" s="11">
        <f>K52+J54</f>
        <v>1700733</v>
      </c>
    </row>
    <row r="55" spans="1:11" ht="15.75" thickBot="1" x14ac:dyDescent="0.3">
      <c r="A55" s="36" t="s">
        <v>61</v>
      </c>
      <c r="B55" s="15"/>
      <c r="C55" s="15">
        <f>SUM(C53:C54)</f>
        <v>1538508</v>
      </c>
      <c r="D55" s="15">
        <f t="shared" ref="D55:I55" si="13">SUM(D53:D54)</f>
        <v>162225</v>
      </c>
      <c r="E55" s="15">
        <f t="shared" si="13"/>
        <v>0</v>
      </c>
      <c r="F55" s="15">
        <f t="shared" si="13"/>
        <v>0</v>
      </c>
      <c r="G55" s="15">
        <f t="shared" si="13"/>
        <v>0</v>
      </c>
      <c r="H55" s="15">
        <f t="shared" si="13"/>
        <v>0</v>
      </c>
      <c r="I55" s="15">
        <f t="shared" si="13"/>
        <v>0</v>
      </c>
      <c r="J55" s="15">
        <f>SUM(J54)</f>
        <v>90708</v>
      </c>
      <c r="K55" s="14">
        <f>+K54</f>
        <v>1700733</v>
      </c>
    </row>
    <row r="56" spans="1:11" x14ac:dyDescent="0.25">
      <c r="A56" t="s">
        <v>5</v>
      </c>
    </row>
    <row r="60" spans="1:11" x14ac:dyDescent="0.25">
      <c r="A60" t="s">
        <v>9</v>
      </c>
      <c r="E60" t="s">
        <v>50</v>
      </c>
      <c r="I60" t="s">
        <v>45</v>
      </c>
    </row>
    <row r="61" spans="1:11" x14ac:dyDescent="0.25">
      <c r="A61" t="s">
        <v>44</v>
      </c>
    </row>
    <row r="62" spans="1:11" x14ac:dyDescent="0.25">
      <c r="E62" t="s">
        <v>13</v>
      </c>
      <c r="F62" s="13">
        <v>6133</v>
      </c>
      <c r="I62" t="s">
        <v>75</v>
      </c>
    </row>
    <row r="63" spans="1:11" x14ac:dyDescent="0.25">
      <c r="E63" t="s">
        <v>6</v>
      </c>
      <c r="F63" s="13" t="s">
        <v>7</v>
      </c>
    </row>
    <row r="64" spans="1:11" ht="15.75" thickBot="1" x14ac:dyDescent="0.3"/>
    <row r="65" spans="1:11" ht="30.75" thickBot="1" x14ac:dyDescent="0.3">
      <c r="A65" s="75" t="s">
        <v>42</v>
      </c>
      <c r="B65" s="45"/>
      <c r="C65" s="45">
        <v>1</v>
      </c>
      <c r="D65" s="45">
        <v>2</v>
      </c>
      <c r="E65" s="45">
        <v>3</v>
      </c>
      <c r="F65" s="45">
        <v>4</v>
      </c>
      <c r="G65" s="45">
        <v>5</v>
      </c>
      <c r="H65" s="45">
        <v>6</v>
      </c>
      <c r="I65" s="45">
        <v>7</v>
      </c>
      <c r="J65" s="51" t="s">
        <v>16</v>
      </c>
      <c r="K65" s="40" t="s">
        <v>17</v>
      </c>
    </row>
    <row r="66" spans="1:11" x14ac:dyDescent="0.25">
      <c r="A66" s="76" t="s">
        <v>43</v>
      </c>
      <c r="B66" s="35"/>
      <c r="C66" s="35">
        <f t="shared" ref="C66:K66" si="14">C55</f>
        <v>1538508</v>
      </c>
      <c r="D66" s="35">
        <f t="shared" si="14"/>
        <v>162225</v>
      </c>
      <c r="E66" s="35">
        <f t="shared" si="14"/>
        <v>0</v>
      </c>
      <c r="F66" s="35">
        <f t="shared" si="14"/>
        <v>0</v>
      </c>
      <c r="G66" s="35">
        <f t="shared" si="14"/>
        <v>0</v>
      </c>
      <c r="H66" s="35">
        <f t="shared" si="14"/>
        <v>0</v>
      </c>
      <c r="I66" s="35">
        <f t="shared" si="14"/>
        <v>0</v>
      </c>
      <c r="J66" s="35">
        <f t="shared" si="14"/>
        <v>90708</v>
      </c>
      <c r="K66" s="35">
        <f t="shared" si="14"/>
        <v>1700733</v>
      </c>
    </row>
    <row r="67" spans="1:11" x14ac:dyDescent="0.25">
      <c r="A67" s="61" t="s">
        <v>415</v>
      </c>
      <c r="B67" s="8"/>
      <c r="C67" s="8">
        <v>90708</v>
      </c>
      <c r="D67" s="8"/>
      <c r="E67" s="16"/>
      <c r="F67" s="16"/>
      <c r="G67" s="16"/>
      <c r="H67" s="16"/>
      <c r="I67" s="16"/>
      <c r="J67" s="234">
        <f>SUM(C67:I67)</f>
        <v>90708</v>
      </c>
      <c r="K67" s="9">
        <f>+K66+J67</f>
        <v>1791441</v>
      </c>
    </row>
    <row r="68" spans="1:11" x14ac:dyDescent="0.25">
      <c r="A68" s="79" t="s">
        <v>416</v>
      </c>
      <c r="B68" s="181"/>
      <c r="C68" s="81">
        <v>90708</v>
      </c>
      <c r="D68" s="80"/>
      <c r="E68" s="80"/>
      <c r="F68" s="80"/>
      <c r="G68" s="80"/>
      <c r="H68" s="80"/>
      <c r="I68" s="80"/>
      <c r="J68" s="234">
        <f>SUM(C68:I68)</f>
        <v>90708</v>
      </c>
      <c r="K68" s="9">
        <f>+K67+J68</f>
        <v>1882149</v>
      </c>
    </row>
    <row r="69" spans="1:11" x14ac:dyDescent="0.25">
      <c r="A69" s="62" t="s">
        <v>424</v>
      </c>
      <c r="B69" s="178"/>
      <c r="C69" s="8">
        <v>3351</v>
      </c>
      <c r="D69" s="8"/>
      <c r="E69" s="8"/>
      <c r="F69" s="8"/>
      <c r="G69" s="8"/>
      <c r="H69" s="8"/>
      <c r="I69" s="163"/>
      <c r="J69" s="234">
        <f>SUM(C69:I69)</f>
        <v>3351</v>
      </c>
      <c r="K69" s="9">
        <f>+K68+J69</f>
        <v>1885500</v>
      </c>
    </row>
    <row r="70" spans="1:11" x14ac:dyDescent="0.25">
      <c r="A70" s="62" t="s">
        <v>430</v>
      </c>
      <c r="B70" s="178"/>
      <c r="C70" s="8">
        <v>14085</v>
      </c>
      <c r="D70" s="8"/>
      <c r="E70" s="8"/>
      <c r="F70" s="163"/>
      <c r="G70" s="8"/>
      <c r="H70" s="8"/>
      <c r="I70" s="8"/>
      <c r="J70" s="234">
        <f>SUM(C70:I70)</f>
        <v>14085</v>
      </c>
      <c r="K70" s="9">
        <f>+K69+J70</f>
        <v>1899585</v>
      </c>
    </row>
    <row r="71" spans="1:11" ht="15.75" thickBot="1" x14ac:dyDescent="0.3">
      <c r="A71" s="73" t="s">
        <v>436</v>
      </c>
      <c r="B71" s="496"/>
      <c r="C71" s="10"/>
      <c r="D71" s="10">
        <v>32445</v>
      </c>
      <c r="E71" s="3"/>
      <c r="F71" s="3"/>
      <c r="G71" s="3"/>
      <c r="H71" s="3"/>
      <c r="I71" s="3"/>
      <c r="J71" s="242">
        <f>SUM(C71:I71)</f>
        <v>32445</v>
      </c>
      <c r="K71" s="10">
        <f>+K70+J71</f>
        <v>1932030</v>
      </c>
    </row>
    <row r="72" spans="1:11" x14ac:dyDescent="0.25">
      <c r="A72" s="79" t="s">
        <v>64</v>
      </c>
      <c r="B72" s="240"/>
      <c r="C72" s="80">
        <f>SUM(C66:C71)</f>
        <v>1737360</v>
      </c>
      <c r="D72" s="80">
        <f t="shared" ref="D72:I72" si="15">SUM(D66:D71)</f>
        <v>194670</v>
      </c>
      <c r="E72" s="80">
        <f t="shared" si="15"/>
        <v>0</v>
      </c>
      <c r="F72" s="80">
        <f t="shared" si="15"/>
        <v>0</v>
      </c>
      <c r="G72" s="80">
        <f t="shared" si="15"/>
        <v>0</v>
      </c>
      <c r="H72" s="80">
        <f t="shared" si="15"/>
        <v>0</v>
      </c>
      <c r="I72" s="35">
        <f t="shared" si="15"/>
        <v>0</v>
      </c>
      <c r="J72" s="497">
        <f>SUM(J66:J71)</f>
        <v>322005</v>
      </c>
      <c r="K72" s="80">
        <f>+K71</f>
        <v>1932030</v>
      </c>
    </row>
    <row r="73" spans="1:11" x14ac:dyDescent="0.25">
      <c r="A73" s="62" t="s">
        <v>481</v>
      </c>
      <c r="B73" s="278"/>
      <c r="C73" s="217">
        <v>90708</v>
      </c>
      <c r="D73" s="217"/>
      <c r="E73" s="217"/>
      <c r="F73" s="176"/>
      <c r="G73" s="176"/>
      <c r="H73" s="176"/>
      <c r="I73" s="176"/>
      <c r="J73" s="234">
        <f t="shared" ref="J73:J78" si="16">SUM(C73:I73)</f>
        <v>90708</v>
      </c>
      <c r="K73" s="8">
        <f>+K72+J73</f>
        <v>2022738</v>
      </c>
    </row>
    <row r="74" spans="1:11" x14ac:dyDescent="0.25">
      <c r="A74" s="62" t="s">
        <v>482</v>
      </c>
      <c r="B74" s="278"/>
      <c r="C74" s="217">
        <v>90708</v>
      </c>
      <c r="D74" s="217"/>
      <c r="E74" s="217"/>
      <c r="F74" s="217"/>
      <c r="G74" s="176"/>
      <c r="H74" s="176"/>
      <c r="I74" s="176"/>
      <c r="J74" s="234">
        <f t="shared" si="16"/>
        <v>90708</v>
      </c>
      <c r="K74" s="8">
        <f>+K73+J74</f>
        <v>2113446</v>
      </c>
    </row>
    <row r="75" spans="1:11" x14ac:dyDescent="0.25">
      <c r="A75" s="229" t="s">
        <v>483</v>
      </c>
      <c r="B75" s="244"/>
      <c r="C75" s="258">
        <v>90708</v>
      </c>
      <c r="D75" s="231"/>
      <c r="E75" s="231"/>
      <c r="F75" s="231"/>
      <c r="G75" s="231"/>
      <c r="H75" s="231"/>
      <c r="I75" s="231"/>
      <c r="J75" s="234">
        <f t="shared" si="16"/>
        <v>90708</v>
      </c>
      <c r="K75" s="8">
        <f>+K74+J75</f>
        <v>2204154</v>
      </c>
    </row>
    <row r="76" spans="1:11" x14ac:dyDescent="0.25">
      <c r="A76" s="227" t="s">
        <v>489</v>
      </c>
      <c r="B76" s="235"/>
      <c r="C76" s="203">
        <v>3351</v>
      </c>
      <c r="D76" s="223"/>
      <c r="E76" s="203"/>
      <c r="F76" s="203"/>
      <c r="G76" s="203"/>
      <c r="H76" s="223"/>
      <c r="I76" s="223"/>
      <c r="J76" s="234">
        <f t="shared" si="16"/>
        <v>3351</v>
      </c>
      <c r="K76" s="8">
        <f>+K75+J76</f>
        <v>2207505</v>
      </c>
    </row>
    <row r="77" spans="1:11" x14ac:dyDescent="0.25">
      <c r="A77" s="227" t="s">
        <v>495</v>
      </c>
      <c r="B77" s="235"/>
      <c r="C77" s="203">
        <v>14085</v>
      </c>
      <c r="D77" s="223"/>
      <c r="E77" s="203"/>
      <c r="F77" s="203"/>
      <c r="G77" s="203"/>
      <c r="H77" s="223"/>
      <c r="I77" s="223"/>
      <c r="J77" s="234">
        <f t="shared" si="16"/>
        <v>14085</v>
      </c>
      <c r="K77" s="8">
        <f>+K76+J77</f>
        <v>2221590</v>
      </c>
    </row>
    <row r="78" spans="1:11" ht="15.75" thickBot="1" x14ac:dyDescent="0.3">
      <c r="A78" s="213" t="s">
        <v>501</v>
      </c>
      <c r="B78" s="247"/>
      <c r="C78" s="214"/>
      <c r="D78" s="214">
        <v>32445</v>
      </c>
      <c r="E78" s="214"/>
      <c r="F78" s="214"/>
      <c r="G78" s="214"/>
      <c r="H78" s="214"/>
      <c r="I78" s="214"/>
      <c r="J78" s="489">
        <f t="shared" si="16"/>
        <v>32445</v>
      </c>
      <c r="K78" s="11">
        <f>K77+J78</f>
        <v>2254035</v>
      </c>
    </row>
    <row r="79" spans="1:11" x14ac:dyDescent="0.25">
      <c r="A79" s="229" t="s">
        <v>65</v>
      </c>
      <c r="B79" s="244"/>
      <c r="C79" s="231">
        <f>SUM(C72:C78)</f>
        <v>2026920</v>
      </c>
      <c r="D79" s="231">
        <f t="shared" ref="D79:I79" si="17">SUM(D72:D78)</f>
        <v>227115</v>
      </c>
      <c r="E79" s="231">
        <f t="shared" si="17"/>
        <v>0</v>
      </c>
      <c r="F79" s="231">
        <f t="shared" si="17"/>
        <v>0</v>
      </c>
      <c r="G79" s="231">
        <f t="shared" si="17"/>
        <v>0</v>
      </c>
      <c r="H79" s="231">
        <f t="shared" si="17"/>
        <v>0</v>
      </c>
      <c r="I79" s="231">
        <f t="shared" si="17"/>
        <v>0</v>
      </c>
      <c r="J79" s="245">
        <f>SUM(J73:J78)</f>
        <v>322005</v>
      </c>
      <c r="K79" s="82">
        <f>+K78</f>
        <v>2254035</v>
      </c>
    </row>
    <row r="80" spans="1:11" x14ac:dyDescent="0.25">
      <c r="A80" s="227" t="s">
        <v>563</v>
      </c>
      <c r="B80" s="235"/>
      <c r="C80" s="203"/>
      <c r="D80" s="203"/>
      <c r="E80" s="203"/>
      <c r="F80" s="203">
        <v>700000</v>
      </c>
      <c r="G80" s="203"/>
      <c r="H80" s="223"/>
      <c r="I80" s="223"/>
      <c r="J80" s="236">
        <f t="shared" ref="J80:J86" si="18">SUM(C80:I80)</f>
        <v>700000</v>
      </c>
      <c r="K80" s="9">
        <f>+K79+J80</f>
        <v>2954035</v>
      </c>
    </row>
    <row r="81" spans="1:11" x14ac:dyDescent="0.25">
      <c r="A81" s="145" t="s">
        <v>548</v>
      </c>
      <c r="B81" s="243"/>
      <c r="C81" s="81"/>
      <c r="D81" s="81"/>
      <c r="E81" s="81"/>
      <c r="F81" s="81">
        <v>800000</v>
      </c>
      <c r="G81" s="80"/>
      <c r="H81" s="80"/>
      <c r="I81" s="80"/>
      <c r="J81" s="236">
        <f t="shared" si="18"/>
        <v>800000</v>
      </c>
      <c r="K81" s="9">
        <f t="shared" ref="K81:K86" si="19">+K80+J81</f>
        <v>3754035</v>
      </c>
    </row>
    <row r="82" spans="1:11" x14ac:dyDescent="0.25">
      <c r="A82" s="62" t="s">
        <v>549</v>
      </c>
      <c r="B82" s="178"/>
      <c r="C82" s="8"/>
      <c r="D82" s="8"/>
      <c r="E82" s="8"/>
      <c r="F82" s="8">
        <v>700000</v>
      </c>
      <c r="G82" s="16"/>
      <c r="H82" s="16"/>
      <c r="I82" s="8"/>
      <c r="J82" s="236">
        <f t="shared" si="18"/>
        <v>700000</v>
      </c>
      <c r="K82" s="9">
        <f t="shared" si="19"/>
        <v>4454035</v>
      </c>
    </row>
    <row r="83" spans="1:11" x14ac:dyDescent="0.25">
      <c r="A83" s="62" t="s">
        <v>550</v>
      </c>
      <c r="B83" s="178"/>
      <c r="C83" s="8"/>
      <c r="D83" s="8"/>
      <c r="E83" s="8"/>
      <c r="F83" s="8">
        <v>800000</v>
      </c>
      <c r="H83" s="16"/>
      <c r="I83" s="8"/>
      <c r="J83" s="236">
        <f t="shared" si="18"/>
        <v>800000</v>
      </c>
      <c r="K83" s="9">
        <f t="shared" si="19"/>
        <v>5254035</v>
      </c>
    </row>
    <row r="84" spans="1:11" x14ac:dyDescent="0.25">
      <c r="A84" s="61" t="s">
        <v>602</v>
      </c>
      <c r="B84" s="178"/>
      <c r="C84" s="8">
        <v>267387</v>
      </c>
      <c r="D84" s="8"/>
      <c r="E84" s="8"/>
      <c r="F84" s="8"/>
      <c r="G84" s="8"/>
      <c r="H84" s="8"/>
      <c r="I84" s="8"/>
      <c r="J84" s="236">
        <f t="shared" si="18"/>
        <v>267387</v>
      </c>
      <c r="K84" s="9">
        <f t="shared" si="19"/>
        <v>5521422</v>
      </c>
    </row>
    <row r="85" spans="1:11" x14ac:dyDescent="0.25">
      <c r="A85" s="145" t="s">
        <v>603</v>
      </c>
      <c r="B85" s="243"/>
      <c r="C85" s="81">
        <v>3351</v>
      </c>
      <c r="D85" s="81"/>
      <c r="E85" s="80"/>
      <c r="F85" s="81"/>
      <c r="G85" s="80"/>
      <c r="H85" s="80"/>
      <c r="I85" s="80"/>
      <c r="J85" s="236">
        <f t="shared" si="18"/>
        <v>3351</v>
      </c>
      <c r="K85" s="9">
        <f t="shared" si="19"/>
        <v>5524773</v>
      </c>
    </row>
    <row r="86" spans="1:11" ht="15.75" thickBot="1" x14ac:dyDescent="0.3">
      <c r="A86" s="69" t="s">
        <v>606</v>
      </c>
      <c r="B86" s="179"/>
      <c r="C86" s="64">
        <v>14085</v>
      </c>
      <c r="D86" s="70"/>
      <c r="E86" s="70"/>
      <c r="F86" s="70"/>
      <c r="G86" s="70"/>
      <c r="H86" s="70"/>
      <c r="I86" s="70"/>
      <c r="J86" s="8">
        <f t="shared" si="18"/>
        <v>14085</v>
      </c>
      <c r="K86" s="9">
        <f t="shared" si="19"/>
        <v>5538858</v>
      </c>
    </row>
    <row r="87" spans="1:11" ht="19.5" customHeight="1" thickBot="1" x14ac:dyDescent="0.3">
      <c r="A87" s="164" t="s">
        <v>61</v>
      </c>
      <c r="B87" s="83"/>
      <c r="C87" s="83">
        <f>SUM(C79:C86)</f>
        <v>2311743</v>
      </c>
      <c r="D87" s="83">
        <f t="shared" ref="D87:I87" si="20">SUM(D79:D86)</f>
        <v>227115</v>
      </c>
      <c r="E87" s="83">
        <f t="shared" si="20"/>
        <v>0</v>
      </c>
      <c r="F87" s="83">
        <f t="shared" si="20"/>
        <v>3000000</v>
      </c>
      <c r="G87" s="83">
        <f t="shared" si="20"/>
        <v>0</v>
      </c>
      <c r="H87" s="83">
        <f t="shared" si="20"/>
        <v>0</v>
      </c>
      <c r="I87" s="83">
        <f t="shared" si="20"/>
        <v>0</v>
      </c>
      <c r="J87" s="83">
        <f>SUM(J82:J86)</f>
        <v>1784823</v>
      </c>
      <c r="K87" s="149">
        <f>+K86</f>
        <v>5538858</v>
      </c>
    </row>
    <row r="88" spans="1:11" ht="21" customHeight="1" x14ac:dyDescent="0.25">
      <c r="A88" t="s">
        <v>5</v>
      </c>
    </row>
    <row r="90" spans="1:11" x14ac:dyDescent="0.25">
      <c r="A90" s="98" t="s">
        <v>67</v>
      </c>
      <c r="B90" s="98"/>
      <c r="C90" s="327">
        <f t="shared" ref="C90:I90" si="21">C6-C87</f>
        <v>1648257</v>
      </c>
      <c r="D90" s="327">
        <f t="shared" si="21"/>
        <v>213885</v>
      </c>
      <c r="E90" s="327">
        <f t="shared" si="21"/>
        <v>0</v>
      </c>
      <c r="F90" s="327">
        <f t="shared" si="21"/>
        <v>0</v>
      </c>
      <c r="G90" s="327">
        <f t="shared" si="21"/>
        <v>1176000</v>
      </c>
      <c r="H90" s="327">
        <f t="shared" si="21"/>
        <v>0</v>
      </c>
      <c r="I90" s="327">
        <f t="shared" si="21"/>
        <v>6901000</v>
      </c>
      <c r="J90" s="327"/>
      <c r="K90" s="327">
        <f>SUM(C90:J90)</f>
        <v>9939142</v>
      </c>
    </row>
    <row r="91" spans="1:11" x14ac:dyDescent="0.25">
      <c r="A91" t="s">
        <v>9</v>
      </c>
      <c r="E91" t="s">
        <v>50</v>
      </c>
      <c r="I91" t="s">
        <v>45</v>
      </c>
    </row>
    <row r="92" spans="1:11" x14ac:dyDescent="0.25">
      <c r="A92" t="s">
        <v>44</v>
      </c>
    </row>
    <row r="93" spans="1:11" x14ac:dyDescent="0.25">
      <c r="E93" t="s">
        <v>13</v>
      </c>
      <c r="F93" s="13">
        <v>6133</v>
      </c>
      <c r="I93" t="s">
        <v>75</v>
      </c>
    </row>
    <row r="94" spans="1:11" x14ac:dyDescent="0.25">
      <c r="E94" t="s">
        <v>6</v>
      </c>
      <c r="F94" s="13" t="s">
        <v>7</v>
      </c>
    </row>
    <row r="95" spans="1:11" ht="15.75" thickBot="1" x14ac:dyDescent="0.3"/>
    <row r="96" spans="1:11" ht="30.75" thickBot="1" x14ac:dyDescent="0.3">
      <c r="A96" s="75" t="s">
        <v>42</v>
      </c>
      <c r="B96" s="45"/>
      <c r="C96" s="45">
        <v>1</v>
      </c>
      <c r="D96" s="45">
        <v>2</v>
      </c>
      <c r="E96" s="45">
        <v>3</v>
      </c>
      <c r="F96" s="45">
        <v>4</v>
      </c>
      <c r="G96" s="45">
        <v>5</v>
      </c>
      <c r="H96" s="45">
        <v>6</v>
      </c>
      <c r="I96" s="45">
        <v>7</v>
      </c>
      <c r="J96" s="51" t="s">
        <v>16</v>
      </c>
      <c r="K96" s="40" t="s">
        <v>17</v>
      </c>
    </row>
    <row r="97" spans="1:11" x14ac:dyDescent="0.25">
      <c r="A97" s="76" t="s">
        <v>43</v>
      </c>
      <c r="B97" s="35"/>
      <c r="C97" s="35">
        <f t="shared" ref="C97:I97" si="22">C87</f>
        <v>2311743</v>
      </c>
      <c r="D97" s="35">
        <f t="shared" si="22"/>
        <v>227115</v>
      </c>
      <c r="E97" s="35">
        <f t="shared" si="22"/>
        <v>0</v>
      </c>
      <c r="F97" s="35">
        <f t="shared" si="22"/>
        <v>3000000</v>
      </c>
      <c r="G97" s="35">
        <f t="shared" si="22"/>
        <v>0</v>
      </c>
      <c r="H97" s="35">
        <f t="shared" si="22"/>
        <v>0</v>
      </c>
      <c r="I97" s="35">
        <f t="shared" si="22"/>
        <v>0</v>
      </c>
      <c r="J97" s="35">
        <f>+J87</f>
        <v>1784823</v>
      </c>
      <c r="K97" s="35">
        <f>K86</f>
        <v>5538858</v>
      </c>
    </row>
    <row r="98" spans="1:11" ht="15.75" thickBot="1" x14ac:dyDescent="0.3">
      <c r="A98" s="73" t="s">
        <v>607</v>
      </c>
      <c r="B98" s="182"/>
      <c r="C98" s="10"/>
      <c r="D98" s="10">
        <v>32445</v>
      </c>
      <c r="E98" s="10"/>
      <c r="F98" s="10"/>
      <c r="G98" s="10"/>
      <c r="H98" s="10"/>
      <c r="I98" s="272"/>
      <c r="J98" s="242">
        <f>SUM(C98:I98)</f>
        <v>32445</v>
      </c>
      <c r="K98" s="10">
        <f>+K97+J98</f>
        <v>5571303</v>
      </c>
    </row>
    <row r="99" spans="1:11" x14ac:dyDescent="0.25">
      <c r="A99" s="265" t="s">
        <v>66</v>
      </c>
      <c r="B99" s="181"/>
      <c r="C99" s="80">
        <f>SUM(C97:C98)</f>
        <v>2311743</v>
      </c>
      <c r="D99" s="80">
        <f t="shared" ref="D99:I99" si="23">SUM(D97:D98)</f>
        <v>259560</v>
      </c>
      <c r="E99" s="80">
        <f t="shared" si="23"/>
        <v>0</v>
      </c>
      <c r="F99" s="80">
        <f t="shared" si="23"/>
        <v>3000000</v>
      </c>
      <c r="G99" s="80">
        <f t="shared" si="23"/>
        <v>0</v>
      </c>
      <c r="H99" s="80">
        <f t="shared" si="23"/>
        <v>0</v>
      </c>
      <c r="I99" s="35">
        <f t="shared" si="23"/>
        <v>0</v>
      </c>
      <c r="J99" s="497">
        <f>SUM(J97:J98)</f>
        <v>1817268</v>
      </c>
      <c r="K99" s="124">
        <f>+K98</f>
        <v>5571303</v>
      </c>
    </row>
    <row r="100" spans="1:11" x14ac:dyDescent="0.25">
      <c r="A100" s="456" t="s">
        <v>620</v>
      </c>
      <c r="B100" s="235"/>
      <c r="C100" s="203">
        <v>268877</v>
      </c>
      <c r="D100" s="203"/>
      <c r="E100" s="203"/>
      <c r="F100" s="203"/>
      <c r="G100" s="203"/>
      <c r="H100" s="223"/>
      <c r="I100" s="223"/>
      <c r="J100" s="236">
        <f>SUM(C100:I100)</f>
        <v>268877</v>
      </c>
      <c r="K100" s="203">
        <f>+K99+J100</f>
        <v>5840180</v>
      </c>
    </row>
    <row r="101" spans="1:11" x14ac:dyDescent="0.25">
      <c r="A101" s="256" t="s">
        <v>640</v>
      </c>
      <c r="B101" s="298"/>
      <c r="C101" s="258">
        <v>4372</v>
      </c>
      <c r="D101" s="231"/>
      <c r="E101" s="258"/>
      <c r="F101" s="258"/>
      <c r="G101" s="258"/>
      <c r="H101" s="231"/>
      <c r="I101" s="231"/>
      <c r="J101" s="359">
        <f t="shared" ref="J101:J108" si="24">SUM(C101:I101)</f>
        <v>4372</v>
      </c>
      <c r="K101" s="203">
        <f t="shared" ref="K101:K113" si="25">+K100+J101</f>
        <v>5844552</v>
      </c>
    </row>
    <row r="102" spans="1:11" x14ac:dyDescent="0.25">
      <c r="A102" s="227" t="s">
        <v>641</v>
      </c>
      <c r="B102" s="298"/>
      <c r="C102" s="203">
        <v>18615</v>
      </c>
      <c r="D102" s="223"/>
      <c r="E102" s="203"/>
      <c r="F102" s="203"/>
      <c r="G102" s="203"/>
      <c r="H102" s="223"/>
      <c r="I102" s="223"/>
      <c r="J102" s="236">
        <f t="shared" si="24"/>
        <v>18615</v>
      </c>
      <c r="K102" s="203">
        <f t="shared" si="25"/>
        <v>5863167</v>
      </c>
    </row>
    <row r="103" spans="1:11" x14ac:dyDescent="0.25">
      <c r="A103" s="227" t="s">
        <v>642</v>
      </c>
      <c r="B103" s="298"/>
      <c r="C103" s="203"/>
      <c r="D103" s="203">
        <v>45093</v>
      </c>
      <c r="E103" s="203"/>
      <c r="F103" s="203"/>
      <c r="G103" s="203"/>
      <c r="H103" s="223"/>
      <c r="I103" s="203"/>
      <c r="J103" s="236">
        <f t="shared" si="24"/>
        <v>45093</v>
      </c>
      <c r="K103" s="203">
        <f t="shared" si="25"/>
        <v>5908260</v>
      </c>
    </row>
    <row r="104" spans="1:11" x14ac:dyDescent="0.25">
      <c r="A104" s="227" t="s">
        <v>643</v>
      </c>
      <c r="B104" s="298"/>
      <c r="C104" s="203"/>
      <c r="D104" s="223"/>
      <c r="E104" s="203"/>
      <c r="F104" s="203"/>
      <c r="G104" s="203">
        <v>1176000</v>
      </c>
      <c r="H104" s="223"/>
      <c r="I104" s="223"/>
      <c r="J104" s="236">
        <f t="shared" si="24"/>
        <v>1176000</v>
      </c>
      <c r="K104" s="203">
        <f t="shared" si="25"/>
        <v>7084260</v>
      </c>
    </row>
    <row r="105" spans="1:11" x14ac:dyDescent="0.25">
      <c r="A105" s="227" t="s">
        <v>672</v>
      </c>
      <c r="B105" s="235"/>
      <c r="C105" s="203">
        <v>304951</v>
      </c>
      <c r="D105" s="203"/>
      <c r="E105" s="203"/>
      <c r="F105" s="203"/>
      <c r="G105" s="203"/>
      <c r="H105" s="203"/>
      <c r="I105" s="203"/>
      <c r="J105" s="236">
        <f t="shared" si="24"/>
        <v>304951</v>
      </c>
      <c r="K105" s="203">
        <f t="shared" si="25"/>
        <v>7389211</v>
      </c>
    </row>
    <row r="106" spans="1:11" x14ac:dyDescent="0.25">
      <c r="A106" s="336" t="s">
        <v>679</v>
      </c>
      <c r="B106" s="235"/>
      <c r="C106" s="338">
        <v>4149</v>
      </c>
      <c r="D106" s="338"/>
      <c r="E106" s="338"/>
      <c r="F106" s="338"/>
      <c r="G106" s="338"/>
      <c r="H106" s="338"/>
      <c r="I106" s="338"/>
      <c r="J106" s="236">
        <f t="shared" si="24"/>
        <v>4149</v>
      </c>
      <c r="K106" s="203">
        <f t="shared" si="25"/>
        <v>7393360</v>
      </c>
    </row>
    <row r="107" spans="1:11" x14ac:dyDescent="0.25">
      <c r="A107" s="336" t="s">
        <v>686</v>
      </c>
      <c r="B107" s="366"/>
      <c r="C107" s="338">
        <v>16345</v>
      </c>
      <c r="D107" s="338"/>
      <c r="E107" s="338"/>
      <c r="F107" s="338"/>
      <c r="G107" s="338"/>
      <c r="H107" s="338"/>
      <c r="I107" s="338"/>
      <c r="J107" s="280">
        <f t="shared" si="24"/>
        <v>16345</v>
      </c>
      <c r="K107" s="203">
        <f t="shared" si="25"/>
        <v>7409705</v>
      </c>
    </row>
    <row r="108" spans="1:11" ht="15.75" thickBot="1" x14ac:dyDescent="0.3">
      <c r="A108" s="292" t="s">
        <v>705</v>
      </c>
      <c r="B108" s="182"/>
      <c r="C108" s="10"/>
      <c r="D108" s="10">
        <v>36250</v>
      </c>
      <c r="E108" s="10"/>
      <c r="F108" s="10"/>
      <c r="G108" s="10"/>
      <c r="H108" s="10"/>
      <c r="I108" s="10"/>
      <c r="J108" s="489">
        <f t="shared" si="24"/>
        <v>36250</v>
      </c>
      <c r="K108" s="214">
        <f t="shared" si="25"/>
        <v>7445955</v>
      </c>
    </row>
    <row r="109" spans="1:11" x14ac:dyDescent="0.25">
      <c r="A109" s="79" t="s">
        <v>69</v>
      </c>
      <c r="B109" s="181"/>
      <c r="C109" s="80">
        <f>SUM(C99:C108)</f>
        <v>2929052</v>
      </c>
      <c r="D109" s="80">
        <f t="shared" ref="D109:I109" si="26">SUM(D99:D108)</f>
        <v>340903</v>
      </c>
      <c r="E109" s="35">
        <f t="shared" si="26"/>
        <v>0</v>
      </c>
      <c r="F109" s="80">
        <f t="shared" si="26"/>
        <v>3000000</v>
      </c>
      <c r="G109" s="80">
        <f t="shared" si="26"/>
        <v>1176000</v>
      </c>
      <c r="H109" s="80">
        <f t="shared" si="26"/>
        <v>0</v>
      </c>
      <c r="I109" s="80">
        <f t="shared" si="26"/>
        <v>0</v>
      </c>
      <c r="J109" s="471">
        <f>SUM(J99:J108)</f>
        <v>3691920</v>
      </c>
      <c r="K109" s="231">
        <f>+K108</f>
        <v>7445955</v>
      </c>
    </row>
    <row r="110" spans="1:11" x14ac:dyDescent="0.25">
      <c r="A110" s="62" t="s">
        <v>759</v>
      </c>
      <c r="B110" s="178"/>
      <c r="C110" s="8">
        <v>304951</v>
      </c>
      <c r="D110" s="16"/>
      <c r="E110" s="8"/>
      <c r="F110" s="16"/>
      <c r="H110" s="16"/>
      <c r="I110" s="8"/>
      <c r="J110" s="8">
        <f t="shared" ref="J110:J118" si="27">SUM(C110:I110)</f>
        <v>304951</v>
      </c>
      <c r="K110" s="203">
        <f t="shared" si="25"/>
        <v>7750906</v>
      </c>
    </row>
    <row r="111" spans="1:11" x14ac:dyDescent="0.25">
      <c r="A111" s="61" t="s">
        <v>760</v>
      </c>
      <c r="B111" s="178"/>
      <c r="C111" s="8">
        <v>4149</v>
      </c>
      <c r="D111" s="8"/>
      <c r="E111" s="8"/>
      <c r="F111" s="8"/>
      <c r="G111" s="8"/>
      <c r="H111" s="8"/>
      <c r="I111" s="8"/>
      <c r="J111" s="8">
        <f t="shared" si="27"/>
        <v>4149</v>
      </c>
      <c r="K111" s="203">
        <f t="shared" si="25"/>
        <v>7755055</v>
      </c>
    </row>
    <row r="112" spans="1:11" x14ac:dyDescent="0.25">
      <c r="A112" s="200" t="s">
        <v>761</v>
      </c>
      <c r="B112" s="178"/>
      <c r="C112" s="8">
        <v>16345</v>
      </c>
      <c r="D112" s="8"/>
      <c r="E112" s="16"/>
      <c r="F112" s="8"/>
      <c r="G112" s="16"/>
      <c r="H112" s="16"/>
      <c r="I112" s="16"/>
      <c r="J112" s="64">
        <f t="shared" si="27"/>
        <v>16345</v>
      </c>
      <c r="K112" s="203">
        <f t="shared" si="25"/>
        <v>7771400</v>
      </c>
    </row>
    <row r="113" spans="1:11" ht="15.75" thickBot="1" x14ac:dyDescent="0.3">
      <c r="A113" s="292" t="s">
        <v>762</v>
      </c>
      <c r="B113" s="182"/>
      <c r="C113" s="10"/>
      <c r="D113" s="10">
        <v>36250</v>
      </c>
      <c r="E113" s="3"/>
      <c r="F113" s="10"/>
      <c r="G113" s="3"/>
      <c r="H113" s="3"/>
      <c r="I113" s="3"/>
      <c r="J113" s="10">
        <f t="shared" si="27"/>
        <v>36250</v>
      </c>
      <c r="K113" s="214">
        <f t="shared" si="25"/>
        <v>7807650</v>
      </c>
    </row>
    <row r="114" spans="1:11" x14ac:dyDescent="0.25">
      <c r="A114" s="265" t="s">
        <v>70</v>
      </c>
      <c r="B114" s="276"/>
      <c r="C114" s="35">
        <f>SUM(C109:C113)</f>
        <v>3254497</v>
      </c>
      <c r="D114" s="80">
        <f t="shared" ref="D114:I114" si="28">SUM(D109:D113)</f>
        <v>377153</v>
      </c>
      <c r="E114" s="80">
        <f t="shared" si="28"/>
        <v>0</v>
      </c>
      <c r="F114" s="80">
        <f t="shared" si="28"/>
        <v>3000000</v>
      </c>
      <c r="G114" s="80">
        <f t="shared" si="28"/>
        <v>1176000</v>
      </c>
      <c r="H114" s="80">
        <f t="shared" si="28"/>
        <v>0</v>
      </c>
      <c r="I114" s="80">
        <f t="shared" si="28"/>
        <v>0</v>
      </c>
      <c r="J114" s="124">
        <f>SUM(J110:J113)</f>
        <v>361695</v>
      </c>
      <c r="K114" s="128">
        <f>+K113</f>
        <v>7807650</v>
      </c>
    </row>
    <row r="115" spans="1:11" x14ac:dyDescent="0.25">
      <c r="A115" s="200" t="s">
        <v>789</v>
      </c>
      <c r="B115" s="178"/>
      <c r="C115" s="8"/>
      <c r="D115" s="8"/>
      <c r="E115" s="16"/>
      <c r="F115" s="8"/>
      <c r="G115" s="16"/>
      <c r="H115" s="16"/>
      <c r="I115" s="8">
        <v>5436755</v>
      </c>
      <c r="J115" s="64">
        <f t="shared" si="27"/>
        <v>5436755</v>
      </c>
      <c r="K115" s="65">
        <f>+K114+J115</f>
        <v>13244405</v>
      </c>
    </row>
    <row r="116" spans="1:11" x14ac:dyDescent="0.25">
      <c r="A116" s="200" t="s">
        <v>806</v>
      </c>
      <c r="B116" s="178"/>
      <c r="C116" s="8">
        <v>304951</v>
      </c>
      <c r="D116" s="8"/>
      <c r="E116" s="8"/>
      <c r="F116" s="8"/>
      <c r="G116" s="8"/>
      <c r="H116" s="8"/>
      <c r="I116" s="8"/>
      <c r="J116" s="64">
        <f t="shared" si="27"/>
        <v>304951</v>
      </c>
      <c r="K116" s="65">
        <f>+K115+J116</f>
        <v>13549356</v>
      </c>
    </row>
    <row r="117" spans="1:11" x14ac:dyDescent="0.25">
      <c r="A117" s="200" t="s">
        <v>813</v>
      </c>
      <c r="B117" s="178"/>
      <c r="C117" s="8">
        <v>4149</v>
      </c>
      <c r="D117" s="8"/>
      <c r="E117" s="8"/>
      <c r="F117" s="8"/>
      <c r="G117" s="8"/>
      <c r="H117" s="8"/>
      <c r="I117" s="8"/>
      <c r="J117" s="64">
        <f t="shared" si="27"/>
        <v>4149</v>
      </c>
      <c r="K117" s="65">
        <f>+K116+J117</f>
        <v>13553505</v>
      </c>
    </row>
    <row r="118" spans="1:11" ht="15.75" thickBot="1" x14ac:dyDescent="0.3">
      <c r="A118" s="226" t="s">
        <v>826</v>
      </c>
      <c r="B118" s="345"/>
      <c r="C118" s="78">
        <v>16345</v>
      </c>
      <c r="D118" s="78"/>
      <c r="E118" s="78"/>
      <c r="F118" s="78"/>
      <c r="G118" s="78"/>
      <c r="H118" s="78"/>
      <c r="I118" s="78"/>
      <c r="J118" s="78">
        <f t="shared" si="27"/>
        <v>16345</v>
      </c>
      <c r="K118" s="65">
        <f>+K117+J118</f>
        <v>13569850</v>
      </c>
    </row>
    <row r="119" spans="1:11" ht="15.75" thickBot="1" x14ac:dyDescent="0.3">
      <c r="A119" s="164" t="s">
        <v>61</v>
      </c>
      <c r="B119" s="83"/>
      <c r="C119" s="83">
        <f>SUM(C114:C118)</f>
        <v>3579942</v>
      </c>
      <c r="D119" s="83">
        <f t="shared" ref="D119:I119" si="29">SUM(D114:D118)</f>
        <v>377153</v>
      </c>
      <c r="E119" s="83">
        <f t="shared" si="29"/>
        <v>0</v>
      </c>
      <c r="F119" s="83">
        <f t="shared" si="29"/>
        <v>3000000</v>
      </c>
      <c r="G119" s="83">
        <f t="shared" si="29"/>
        <v>1176000</v>
      </c>
      <c r="H119" s="83">
        <f t="shared" si="29"/>
        <v>0</v>
      </c>
      <c r="I119" s="83">
        <f t="shared" si="29"/>
        <v>5436755</v>
      </c>
      <c r="J119" s="83">
        <f>SUM(J100:J116)</f>
        <v>12031668</v>
      </c>
      <c r="K119" s="149">
        <f>K116</f>
        <v>13549356</v>
      </c>
    </row>
    <row r="120" spans="1:11" x14ac:dyDescent="0.25">
      <c r="A120" t="s">
        <v>5</v>
      </c>
    </row>
    <row r="122" spans="1:11" x14ac:dyDescent="0.25">
      <c r="A122" s="98" t="s">
        <v>67</v>
      </c>
      <c r="B122" s="98"/>
      <c r="C122" s="327">
        <f>+C10-C119</f>
        <v>380058</v>
      </c>
      <c r="D122" s="327">
        <f t="shared" ref="D122:I122" si="30">+D10-D119</f>
        <v>63847</v>
      </c>
      <c r="E122" s="327">
        <f t="shared" si="30"/>
        <v>0</v>
      </c>
      <c r="F122" s="327">
        <f t="shared" si="30"/>
        <v>0</v>
      </c>
      <c r="G122" s="327">
        <f t="shared" si="30"/>
        <v>0</v>
      </c>
      <c r="H122" s="327">
        <f t="shared" si="30"/>
        <v>0</v>
      </c>
      <c r="I122" s="327">
        <f t="shared" si="30"/>
        <v>1464245</v>
      </c>
      <c r="J122" s="327"/>
      <c r="K122" s="327">
        <f>SUM(C122:J122)</f>
        <v>1908150</v>
      </c>
    </row>
    <row r="123" spans="1:11" x14ac:dyDescent="0.25">
      <c r="A123" t="s">
        <v>9</v>
      </c>
      <c r="E123" t="s">
        <v>50</v>
      </c>
      <c r="I123" t="s">
        <v>45</v>
      </c>
    </row>
    <row r="124" spans="1:11" x14ac:dyDescent="0.25">
      <c r="A124" t="s">
        <v>44</v>
      </c>
    </row>
    <row r="125" spans="1:11" x14ac:dyDescent="0.25">
      <c r="E125" t="s">
        <v>13</v>
      </c>
      <c r="F125" s="13">
        <v>6133</v>
      </c>
      <c r="I125" t="s">
        <v>75</v>
      </c>
    </row>
    <row r="126" spans="1:11" x14ac:dyDescent="0.25">
      <c r="E126" t="s">
        <v>6</v>
      </c>
      <c r="F126" s="13" t="s">
        <v>7</v>
      </c>
    </row>
    <row r="127" spans="1:11" ht="15.75" thickBot="1" x14ac:dyDescent="0.3"/>
    <row r="128" spans="1:11" ht="30.75" thickBot="1" x14ac:dyDescent="0.3">
      <c r="A128" s="75" t="s">
        <v>42</v>
      </c>
      <c r="B128" s="45"/>
      <c r="C128" s="45">
        <v>1</v>
      </c>
      <c r="D128" s="45">
        <v>2</v>
      </c>
      <c r="E128" s="45">
        <v>3</v>
      </c>
      <c r="F128" s="45">
        <v>4</v>
      </c>
      <c r="G128" s="45">
        <v>5</v>
      </c>
      <c r="H128" s="45">
        <v>6</v>
      </c>
      <c r="I128" s="45">
        <v>7</v>
      </c>
      <c r="J128" s="51" t="s">
        <v>16</v>
      </c>
      <c r="K128" s="40" t="s">
        <v>17</v>
      </c>
    </row>
    <row r="129" spans="1:11" x14ac:dyDescent="0.25">
      <c r="A129" s="76" t="s">
        <v>43</v>
      </c>
      <c r="B129" s="35"/>
      <c r="C129" s="35">
        <f>C119</f>
        <v>3579942</v>
      </c>
      <c r="D129" s="35">
        <f t="shared" ref="D129:I129" si="31">D119</f>
        <v>377153</v>
      </c>
      <c r="E129" s="35">
        <f t="shared" si="31"/>
        <v>0</v>
      </c>
      <c r="F129" s="35">
        <f t="shared" si="31"/>
        <v>3000000</v>
      </c>
      <c r="G129" s="35">
        <f t="shared" si="31"/>
        <v>1176000</v>
      </c>
      <c r="H129" s="35">
        <f t="shared" si="31"/>
        <v>0</v>
      </c>
      <c r="I129" s="35">
        <f t="shared" si="31"/>
        <v>5436755</v>
      </c>
      <c r="J129" s="35">
        <f>+J119</f>
        <v>12031668</v>
      </c>
      <c r="K129" s="35">
        <f>K118</f>
        <v>13569850</v>
      </c>
    </row>
    <row r="130" spans="1:11" x14ac:dyDescent="0.25">
      <c r="A130" s="62" t="s">
        <v>827</v>
      </c>
      <c r="B130" s="178"/>
      <c r="C130" s="8"/>
      <c r="D130" s="8">
        <v>36250</v>
      </c>
      <c r="E130" s="8"/>
      <c r="F130" s="8"/>
      <c r="G130" s="8"/>
      <c r="H130" s="8"/>
      <c r="I130" s="163"/>
      <c r="J130" s="234">
        <f>SUM(C130:I130)</f>
        <v>36250</v>
      </c>
      <c r="K130" s="8">
        <f>+K129+J130</f>
        <v>13606100</v>
      </c>
    </row>
    <row r="131" spans="1:11" x14ac:dyDescent="0.25">
      <c r="A131" s="69" t="s">
        <v>854</v>
      </c>
      <c r="B131" s="179"/>
      <c r="C131" s="64">
        <v>304951</v>
      </c>
      <c r="D131" s="64"/>
      <c r="E131" s="64"/>
      <c r="F131" s="162"/>
      <c r="G131" s="64"/>
      <c r="H131" s="64"/>
      <c r="I131" s="64"/>
      <c r="J131" s="233">
        <f>SUM(C131:I131)</f>
        <v>304951</v>
      </c>
      <c r="K131" s="8">
        <f t="shared" ref="K131:K136" si="32">+K130+J131</f>
        <v>13911051</v>
      </c>
    </row>
    <row r="132" spans="1:11" x14ac:dyDescent="0.25">
      <c r="A132" s="456" t="s">
        <v>861</v>
      </c>
      <c r="B132" s="235"/>
      <c r="C132" s="203">
        <v>4149</v>
      </c>
      <c r="D132" s="223"/>
      <c r="E132" s="203"/>
      <c r="F132" s="203"/>
      <c r="G132" s="203"/>
      <c r="H132" s="223"/>
      <c r="I132" s="223"/>
      <c r="J132" s="236">
        <f t="shared" ref="J132:J137" si="33">SUM(C132:I132)</f>
        <v>4149</v>
      </c>
      <c r="K132" s="8">
        <f t="shared" si="32"/>
        <v>13915200</v>
      </c>
    </row>
    <row r="133" spans="1:11" x14ac:dyDescent="0.25">
      <c r="A133" s="227" t="s">
        <v>868</v>
      </c>
      <c r="B133" s="298"/>
      <c r="C133" s="203">
        <v>16345</v>
      </c>
      <c r="D133" s="223"/>
      <c r="E133" s="203"/>
      <c r="F133" s="203"/>
      <c r="G133" s="203"/>
      <c r="H133" s="223"/>
      <c r="I133" s="223"/>
      <c r="J133" s="236">
        <f t="shared" si="33"/>
        <v>16345</v>
      </c>
      <c r="K133" s="8">
        <f t="shared" si="32"/>
        <v>13931545</v>
      </c>
    </row>
    <row r="134" spans="1:11" x14ac:dyDescent="0.25">
      <c r="A134" s="227" t="s">
        <v>875</v>
      </c>
      <c r="B134" s="298"/>
      <c r="C134" s="203"/>
      <c r="D134" s="203">
        <v>36250</v>
      </c>
      <c r="E134" s="203"/>
      <c r="F134" s="203"/>
      <c r="G134" s="203"/>
      <c r="H134" s="223"/>
      <c r="I134" s="203"/>
      <c r="J134" s="236">
        <f t="shared" si="33"/>
        <v>36250</v>
      </c>
      <c r="K134" s="8">
        <f t="shared" si="32"/>
        <v>13967795</v>
      </c>
    </row>
    <row r="135" spans="1:11" ht="15.75" thickBot="1" x14ac:dyDescent="0.3">
      <c r="A135" s="560" t="s">
        <v>875</v>
      </c>
      <c r="B135" s="561" t="s">
        <v>898</v>
      </c>
      <c r="C135" s="175"/>
      <c r="D135" s="317">
        <v>-36250</v>
      </c>
      <c r="E135" s="175"/>
      <c r="F135" s="175"/>
      <c r="G135" s="175"/>
      <c r="H135" s="317"/>
      <c r="I135" s="317"/>
      <c r="J135" s="562">
        <f t="shared" si="33"/>
        <v>-36250</v>
      </c>
      <c r="K135" s="64">
        <f t="shared" si="32"/>
        <v>13931545</v>
      </c>
    </row>
    <row r="136" spans="1:11" ht="15.75" thickBot="1" x14ac:dyDescent="0.3">
      <c r="A136" s="563" t="s">
        <v>74</v>
      </c>
      <c r="B136" s="564"/>
      <c r="C136" s="354">
        <f>SUM(C129:C135)</f>
        <v>3905387</v>
      </c>
      <c r="D136" s="354">
        <f t="shared" ref="D136:I136" si="34">SUM(D129:D135)</f>
        <v>413403</v>
      </c>
      <c r="E136" s="354">
        <f t="shared" si="34"/>
        <v>0</v>
      </c>
      <c r="F136" s="354">
        <f t="shared" si="34"/>
        <v>3000000</v>
      </c>
      <c r="G136" s="354">
        <f t="shared" si="34"/>
        <v>1176000</v>
      </c>
      <c r="H136" s="354">
        <f t="shared" si="34"/>
        <v>0</v>
      </c>
      <c r="I136" s="354">
        <f t="shared" si="34"/>
        <v>5436755</v>
      </c>
      <c r="J136" s="361"/>
      <c r="K136" s="149">
        <f t="shared" si="32"/>
        <v>13931545</v>
      </c>
    </row>
    <row r="137" spans="1:11" x14ac:dyDescent="0.25">
      <c r="A137" s="256" t="s">
        <v>924</v>
      </c>
      <c r="B137" s="298"/>
      <c r="C137" s="386"/>
      <c r="D137" s="386"/>
      <c r="E137" s="386"/>
      <c r="F137" s="386"/>
      <c r="G137" s="386"/>
      <c r="H137" s="386"/>
      <c r="I137" s="258">
        <v>808772</v>
      </c>
      <c r="J137" s="359">
        <f t="shared" si="33"/>
        <v>808772</v>
      </c>
      <c r="K137" s="127">
        <f t="shared" ref="K137:K138" si="35">+K136+J137</f>
        <v>14740317</v>
      </c>
    </row>
    <row r="138" spans="1:11" ht="15.75" thickBot="1" x14ac:dyDescent="0.3">
      <c r="A138" s="336" t="s">
        <v>925</v>
      </c>
      <c r="B138" s="366"/>
      <c r="C138" s="338"/>
      <c r="D138" s="338"/>
      <c r="E138" s="338"/>
      <c r="F138" s="338"/>
      <c r="G138" s="338"/>
      <c r="H138" s="338"/>
      <c r="I138" s="338">
        <v>649000</v>
      </c>
      <c r="J138" s="280">
        <f>SUM(C138:I138)</f>
        <v>649000</v>
      </c>
      <c r="K138" s="65">
        <f t="shared" si="35"/>
        <v>15389317</v>
      </c>
    </row>
    <row r="139" spans="1:11" ht="15.75" thickBot="1" x14ac:dyDescent="0.3">
      <c r="A139" s="319"/>
      <c r="B139" s="339"/>
      <c r="C139" s="83">
        <f>SUM(C136:C138)</f>
        <v>3905387</v>
      </c>
      <c r="D139" s="83">
        <f t="shared" ref="D139:I139" si="36">SUM(D136:D138)</f>
        <v>413403</v>
      </c>
      <c r="E139" s="83">
        <f t="shared" si="36"/>
        <v>0</v>
      </c>
      <c r="F139" s="83">
        <f t="shared" si="36"/>
        <v>3000000</v>
      </c>
      <c r="G139" s="83">
        <f t="shared" si="36"/>
        <v>1176000</v>
      </c>
      <c r="H139" s="83">
        <f t="shared" si="36"/>
        <v>0</v>
      </c>
      <c r="I139" s="83">
        <f t="shared" si="36"/>
        <v>6894527</v>
      </c>
      <c r="J139" s="83">
        <f t="shared" ref="J139:J148" si="37">SUM(C139:I139)</f>
        <v>15389317</v>
      </c>
      <c r="K139" s="149">
        <f>+K138</f>
        <v>15389317</v>
      </c>
    </row>
    <row r="140" spans="1:11" x14ac:dyDescent="0.25">
      <c r="A140" s="145"/>
      <c r="B140" s="243"/>
      <c r="C140" s="81"/>
      <c r="D140" s="80"/>
      <c r="E140" s="81"/>
      <c r="F140" s="80"/>
      <c r="H140" s="80"/>
      <c r="I140" s="81"/>
      <c r="J140" s="81">
        <f t="shared" si="37"/>
        <v>0</v>
      </c>
      <c r="K140" s="127"/>
    </row>
    <row r="141" spans="1:11" x14ac:dyDescent="0.25">
      <c r="A141" s="61"/>
      <c r="B141" s="178"/>
      <c r="C141" s="8"/>
      <c r="D141" s="8"/>
      <c r="E141" s="8"/>
      <c r="F141" s="8"/>
      <c r="G141" s="8"/>
      <c r="H141" s="8"/>
      <c r="I141" s="8"/>
      <c r="J141" s="8">
        <f t="shared" si="37"/>
        <v>0</v>
      </c>
      <c r="K141" s="65"/>
    </row>
    <row r="142" spans="1:11" x14ac:dyDescent="0.25">
      <c r="A142" s="200"/>
      <c r="B142" s="178"/>
      <c r="C142" s="8"/>
      <c r="D142" s="8"/>
      <c r="E142" s="16"/>
      <c r="F142" s="8"/>
      <c r="G142" s="16"/>
      <c r="H142" s="16"/>
      <c r="I142" s="16"/>
      <c r="J142" s="64">
        <f t="shared" si="37"/>
        <v>0</v>
      </c>
      <c r="K142" s="65"/>
    </row>
    <row r="143" spans="1:11" x14ac:dyDescent="0.25">
      <c r="A143" s="200"/>
      <c r="B143" s="178"/>
      <c r="C143" s="8"/>
      <c r="D143" s="8"/>
      <c r="E143" s="16"/>
      <c r="F143" s="8"/>
      <c r="G143" s="16"/>
      <c r="H143" s="16"/>
      <c r="I143" s="16"/>
      <c r="J143" s="64">
        <f t="shared" si="37"/>
        <v>0</v>
      </c>
      <c r="K143" s="65"/>
    </row>
    <row r="144" spans="1:11" x14ac:dyDescent="0.25">
      <c r="A144" s="200"/>
      <c r="B144" s="178"/>
      <c r="C144" s="8"/>
      <c r="D144" s="8"/>
      <c r="E144" s="16"/>
      <c r="F144" s="8"/>
      <c r="G144" s="16"/>
      <c r="H144" s="16"/>
      <c r="I144" s="16"/>
      <c r="J144" s="64">
        <f t="shared" si="37"/>
        <v>0</v>
      </c>
      <c r="K144" s="65"/>
    </row>
    <row r="145" spans="1:11" x14ac:dyDescent="0.25">
      <c r="A145" s="200"/>
      <c r="B145" s="178"/>
      <c r="C145" s="8"/>
      <c r="D145" s="8"/>
      <c r="E145" s="16"/>
      <c r="F145" s="8"/>
      <c r="G145" s="16"/>
      <c r="H145" s="16"/>
      <c r="I145" s="16"/>
      <c r="J145" s="64">
        <f t="shared" si="37"/>
        <v>0</v>
      </c>
      <c r="K145" s="65"/>
    </row>
    <row r="146" spans="1:11" x14ac:dyDescent="0.25">
      <c r="A146" s="200"/>
      <c r="B146" s="178"/>
      <c r="C146" s="8"/>
      <c r="D146" s="8"/>
      <c r="E146" s="8"/>
      <c r="F146" s="8"/>
      <c r="G146" s="8"/>
      <c r="H146" s="8"/>
      <c r="I146" s="8"/>
      <c r="J146" s="64">
        <f t="shared" si="37"/>
        <v>0</v>
      </c>
      <c r="K146" s="65"/>
    </row>
    <row r="147" spans="1:11" x14ac:dyDescent="0.25">
      <c r="A147" s="226"/>
      <c r="B147" s="345"/>
      <c r="C147" s="78"/>
      <c r="D147" s="78"/>
      <c r="E147" s="78"/>
      <c r="F147" s="78"/>
      <c r="G147" s="78"/>
      <c r="H147" s="78"/>
      <c r="I147" s="78"/>
      <c r="J147" s="64">
        <f t="shared" si="37"/>
        <v>0</v>
      </c>
      <c r="K147" s="65"/>
    </row>
    <row r="148" spans="1:11" ht="15.75" thickBot="1" x14ac:dyDescent="0.3">
      <c r="A148" s="226"/>
      <c r="B148" s="345"/>
      <c r="C148" s="78"/>
      <c r="D148" s="78"/>
      <c r="E148" s="78"/>
      <c r="F148" s="78"/>
      <c r="G148" s="78"/>
      <c r="H148" s="78"/>
      <c r="I148" s="78"/>
      <c r="J148" s="78">
        <f t="shared" si="37"/>
        <v>0</v>
      </c>
      <c r="K148" s="65"/>
    </row>
    <row r="149" spans="1:11" ht="15.75" thickBot="1" x14ac:dyDescent="0.3">
      <c r="A149" s="164" t="s">
        <v>61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149">
        <f>K146</f>
        <v>0</v>
      </c>
    </row>
    <row r="150" spans="1:11" x14ac:dyDescent="0.25">
      <c r="A150" t="s">
        <v>5</v>
      </c>
    </row>
    <row r="152" spans="1:11" x14ac:dyDescent="0.25">
      <c r="A152" s="98" t="s">
        <v>67</v>
      </c>
      <c r="B152" s="98"/>
      <c r="C152" s="327">
        <f>+C10-C139</f>
        <v>54613</v>
      </c>
      <c r="D152" s="327">
        <f t="shared" ref="D152:K152" si="38">+D10-D139</f>
        <v>27597</v>
      </c>
      <c r="E152" s="327">
        <f t="shared" si="38"/>
        <v>0</v>
      </c>
      <c r="F152" s="327">
        <f t="shared" si="38"/>
        <v>0</v>
      </c>
      <c r="G152" s="327">
        <f t="shared" si="38"/>
        <v>0</v>
      </c>
      <c r="H152" s="327">
        <f t="shared" si="38"/>
        <v>0</v>
      </c>
      <c r="I152" s="327">
        <f t="shared" si="38"/>
        <v>6473</v>
      </c>
      <c r="J152" s="327"/>
      <c r="K152" s="327">
        <f t="shared" si="38"/>
        <v>88683</v>
      </c>
    </row>
  </sheetData>
  <mergeCells count="1">
    <mergeCell ref="B11:K11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topLeftCell="A7" workbookViewId="0">
      <selection activeCell="K26" sqref="A1:K26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6141</v>
      </c>
      <c r="I3" t="s">
        <v>75</v>
      </c>
    </row>
    <row r="4" spans="1:11" x14ac:dyDescent="0.25">
      <c r="E4" t="s">
        <v>6</v>
      </c>
      <c r="F4" s="13" t="s">
        <v>30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>
        <v>100000</v>
      </c>
      <c r="H7" s="26"/>
      <c r="I7" s="26"/>
      <c r="J7" s="28">
        <f>SUM(B7:I7)</f>
        <v>100000</v>
      </c>
      <c r="K7" s="29">
        <f>J7</f>
        <v>100000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>
        <f>K7+J8</f>
        <v>100000</v>
      </c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100000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100000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100000</v>
      </c>
      <c r="H11" s="27">
        <f t="shared" si="0"/>
        <v>0</v>
      </c>
      <c r="I11" s="27">
        <f t="shared" si="0"/>
        <v>0</v>
      </c>
      <c r="J11" s="27">
        <f t="shared" si="0"/>
        <v>100000</v>
      </c>
      <c r="K11" s="23">
        <f>K10+J11</f>
        <v>200000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 t="s">
        <v>540</v>
      </c>
      <c r="B13" s="110"/>
      <c r="C13" s="110"/>
      <c r="D13" s="110"/>
      <c r="E13" s="110"/>
      <c r="F13" s="110"/>
      <c r="G13" s="110">
        <v>100000</v>
      </c>
      <c r="H13" s="110"/>
      <c r="I13" s="110"/>
      <c r="J13" s="110">
        <f>SUM(B13:I13)</f>
        <v>100000</v>
      </c>
      <c r="K13" s="115">
        <f>J13</f>
        <v>100000</v>
      </c>
    </row>
    <row r="14" spans="1:11" x14ac:dyDescent="0.25">
      <c r="A14" s="151" t="s">
        <v>66</v>
      </c>
      <c r="B14" s="80"/>
      <c r="C14" s="80"/>
      <c r="D14" s="80"/>
      <c r="E14" s="80"/>
      <c r="F14" s="80"/>
      <c r="G14" s="80">
        <f>SUM(G13)</f>
        <v>100000</v>
      </c>
      <c r="H14" s="80"/>
      <c r="I14" s="80"/>
      <c r="J14" s="81"/>
      <c r="K14" s="100">
        <f>+K13</f>
        <v>100000</v>
      </c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15.75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topLeftCell="A10" workbookViewId="0">
      <selection activeCell="K26" sqref="A1:K26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6142</v>
      </c>
      <c r="I3" t="s">
        <v>75</v>
      </c>
    </row>
    <row r="4" spans="1:11" x14ac:dyDescent="0.25">
      <c r="E4" t="s">
        <v>6</v>
      </c>
      <c r="F4" s="13" t="s">
        <v>30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>
        <v>680000</v>
      </c>
      <c r="H7" s="26"/>
      <c r="I7" s="26"/>
      <c r="J7" s="28">
        <f>SUM(B7:I7)</f>
        <v>680000</v>
      </c>
      <c r="K7" s="29">
        <f>J7</f>
        <v>680000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>
        <f>K7+J8</f>
        <v>680000</v>
      </c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680000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680000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680000</v>
      </c>
      <c r="H11" s="27">
        <f t="shared" si="0"/>
        <v>0</v>
      </c>
      <c r="I11" s="27">
        <f t="shared" si="0"/>
        <v>0</v>
      </c>
      <c r="J11" s="27">
        <f t="shared" si="0"/>
        <v>680000</v>
      </c>
      <c r="K11" s="23">
        <f>K10+J11</f>
        <v>1360000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 t="s">
        <v>541</v>
      </c>
      <c r="B13" s="110"/>
      <c r="C13" s="110"/>
      <c r="D13" s="110"/>
      <c r="E13" s="110"/>
      <c r="F13" s="110"/>
      <c r="G13" s="110">
        <v>680000</v>
      </c>
      <c r="H13" s="110"/>
      <c r="I13" s="110"/>
      <c r="J13" s="110">
        <f>SUM(B13:I13)</f>
        <v>680000</v>
      </c>
      <c r="K13" s="115">
        <f>J13</f>
        <v>680000</v>
      </c>
    </row>
    <row r="14" spans="1:11" x14ac:dyDescent="0.25">
      <c r="A14" s="151" t="s">
        <v>66</v>
      </c>
      <c r="B14" s="80"/>
      <c r="C14" s="80"/>
      <c r="D14" s="80"/>
      <c r="E14" s="80"/>
      <c r="F14" s="80"/>
      <c r="G14" s="80">
        <f>SUM(G13)</f>
        <v>680000</v>
      </c>
      <c r="H14" s="80"/>
      <c r="I14" s="80"/>
      <c r="J14" s="80">
        <f>SUM(J13)</f>
        <v>680000</v>
      </c>
      <c r="K14" s="82">
        <f>+K13</f>
        <v>680000</v>
      </c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15.75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topLeftCell="A4" workbookViewId="0">
      <selection activeCell="G21" sqref="G21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6406</v>
      </c>
      <c r="I3" t="s">
        <v>75</v>
      </c>
    </row>
    <row r="4" spans="1:11" x14ac:dyDescent="0.25">
      <c r="E4" t="s">
        <v>6</v>
      </c>
      <c r="F4" s="13" t="s">
        <v>30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>
        <v>8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>
        <v>100000</v>
      </c>
      <c r="J7" s="28">
        <f>SUM(B7:I7)</f>
        <v>100000</v>
      </c>
      <c r="K7" s="29">
        <f>J7</f>
        <v>100000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100000</v>
      </c>
      <c r="J11" s="27">
        <f t="shared" si="0"/>
        <v>100000</v>
      </c>
      <c r="K11" s="23">
        <f>K10+J11</f>
        <v>100000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/>
      <c r="B13" s="110"/>
      <c r="C13" s="110"/>
      <c r="D13" s="110"/>
      <c r="E13" s="110"/>
      <c r="F13" s="110"/>
      <c r="G13" s="110"/>
      <c r="H13" s="110"/>
      <c r="I13" s="110"/>
      <c r="J13" s="110">
        <f>SUM(B13:I13)</f>
        <v>0</v>
      </c>
      <c r="K13" s="115">
        <f>J13</f>
        <v>0</v>
      </c>
    </row>
    <row r="14" spans="1:11" x14ac:dyDescent="0.25">
      <c r="A14" s="151"/>
      <c r="B14" s="80"/>
      <c r="C14" s="80"/>
      <c r="D14" s="80"/>
      <c r="E14" s="80"/>
      <c r="F14" s="80"/>
      <c r="G14" s="80"/>
      <c r="H14" s="80"/>
      <c r="I14" s="80"/>
      <c r="J14" s="80">
        <f>SUM(J13)</f>
        <v>0</v>
      </c>
      <c r="K14" s="82">
        <f>+K13</f>
        <v>0</v>
      </c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15.75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workbookViewId="0">
      <selection activeCell="I8" sqref="I8"/>
    </sheetView>
  </sheetViews>
  <sheetFormatPr baseColWidth="10" defaultColWidth="11.42578125" defaultRowHeight="15" x14ac:dyDescent="0.25"/>
  <cols>
    <col min="9" max="9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6201</v>
      </c>
      <c r="I3" t="s">
        <v>75</v>
      </c>
    </row>
    <row r="4" spans="1:11" x14ac:dyDescent="0.25">
      <c r="E4" t="s">
        <v>6</v>
      </c>
      <c r="F4" s="13" t="s">
        <v>68</v>
      </c>
    </row>
    <row r="5" spans="1:11" ht="15.75" thickBot="1" x14ac:dyDescent="0.3"/>
    <row r="6" spans="1:11" ht="30.75" thickBot="1" x14ac:dyDescent="0.3">
      <c r="A6" s="39" t="s">
        <v>1</v>
      </c>
      <c r="B6" s="45"/>
      <c r="C6" s="45">
        <v>1</v>
      </c>
      <c r="D6" s="45">
        <v>2</v>
      </c>
      <c r="E6" s="45">
        <v>3</v>
      </c>
      <c r="F6" s="45">
        <v>4</v>
      </c>
      <c r="G6" s="45"/>
      <c r="H6" s="45">
        <v>7</v>
      </c>
      <c r="I6" s="45">
        <v>8</v>
      </c>
      <c r="J6" s="51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>
        <v>1500000</v>
      </c>
      <c r="J7" s="28">
        <f>SUM(B7:I7)</f>
        <v>1500000</v>
      </c>
      <c r="K7" s="29">
        <f>J7</f>
        <v>1500000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1500000</v>
      </c>
      <c r="J11" s="27">
        <f t="shared" si="0"/>
        <v>1500000</v>
      </c>
      <c r="K11" s="23">
        <f>K10+J11</f>
        <v>1500000</v>
      </c>
    </row>
    <row r="12" spans="1:11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1" ht="15.75" thickBot="1" x14ac:dyDescent="0.3">
      <c r="A13" s="117"/>
      <c r="B13" s="110"/>
      <c r="C13" s="110"/>
      <c r="D13" s="110"/>
      <c r="E13" s="110"/>
      <c r="F13" s="110"/>
      <c r="G13" s="110"/>
      <c r="H13" s="110"/>
      <c r="I13" s="110"/>
      <c r="J13" s="110">
        <f>SUM(C13:I13)</f>
        <v>0</v>
      </c>
      <c r="K13" s="67">
        <f>+J13</f>
        <v>0</v>
      </c>
    </row>
    <row r="14" spans="1:11" x14ac:dyDescent="0.25">
      <c r="A14" s="109"/>
      <c r="B14" s="80"/>
      <c r="C14" s="80"/>
      <c r="D14" s="80"/>
      <c r="E14" s="80"/>
      <c r="F14" s="80"/>
      <c r="G14" s="80"/>
      <c r="H14" s="80"/>
      <c r="I14" s="80">
        <f>SUM(I13)</f>
        <v>0</v>
      </c>
      <c r="J14" s="124">
        <f>SUM(C14:I14)</f>
        <v>0</v>
      </c>
      <c r="K14" s="12"/>
    </row>
    <row r="15" spans="1:11" x14ac:dyDescent="0.25">
      <c r="A15" s="88"/>
      <c r="B15" s="8"/>
      <c r="C15" s="8"/>
      <c r="D15" s="8"/>
      <c r="E15" s="8"/>
      <c r="F15" s="8"/>
      <c r="G15" s="8"/>
      <c r="H15" s="8"/>
      <c r="I15" s="8"/>
      <c r="J15" s="60"/>
      <c r="K15" s="9"/>
    </row>
    <row r="16" spans="1:11" x14ac:dyDescent="0.25">
      <c r="A16" s="85"/>
      <c r="B16" s="8"/>
      <c r="C16" s="8"/>
      <c r="D16" s="16"/>
      <c r="E16" s="16"/>
      <c r="F16" s="16"/>
      <c r="G16" s="16"/>
      <c r="H16" s="16"/>
      <c r="I16" s="16"/>
      <c r="J16" s="60"/>
      <c r="K16" s="9"/>
    </row>
    <row r="17" spans="1:11" x14ac:dyDescent="0.25">
      <c r="A17" s="109"/>
      <c r="B17" s="80"/>
      <c r="C17" s="80"/>
      <c r="D17" s="80"/>
      <c r="E17" s="80"/>
      <c r="F17" s="80"/>
      <c r="G17" s="80"/>
      <c r="H17" s="80"/>
      <c r="I17" s="80"/>
      <c r="J17" s="80"/>
      <c r="K17" s="82"/>
    </row>
    <row r="18" spans="1:11" x14ac:dyDescent="0.25">
      <c r="A18" s="85"/>
      <c r="B18" s="8"/>
      <c r="C18" s="8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85"/>
      <c r="B19" s="16"/>
      <c r="C19" s="8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8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88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95"/>
      <c r="B22" s="10"/>
      <c r="C22" s="10"/>
      <c r="D22" s="3"/>
      <c r="E22" s="3"/>
      <c r="F22" s="3"/>
      <c r="G22" s="3"/>
      <c r="H22" s="3"/>
      <c r="I22" s="3"/>
      <c r="J22" s="10"/>
      <c r="K22" s="9"/>
    </row>
    <row r="23" spans="1:11" ht="15.75" thickBot="1" x14ac:dyDescent="0.3">
      <c r="A23" s="36" t="s">
        <v>0</v>
      </c>
      <c r="B23" s="15">
        <v>0</v>
      </c>
      <c r="C23" s="15">
        <f>SUM(C21:C22)</f>
        <v>0</v>
      </c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>
        <f>SUM(J21:J22)</f>
        <v>0</v>
      </c>
      <c r="K23" s="14">
        <f>K22</f>
        <v>0</v>
      </c>
    </row>
    <row r="24" spans="1:11" x14ac:dyDescent="0.25">
      <c r="A24" t="s">
        <v>5</v>
      </c>
    </row>
    <row r="26" spans="1:11" x14ac:dyDescent="0.25">
      <c r="A26" s="98" t="s">
        <v>67</v>
      </c>
      <c r="B26" s="343"/>
      <c r="C26" s="343"/>
      <c r="D26" s="343"/>
      <c r="E26" s="343"/>
      <c r="F26" s="341">
        <f>+F7-F14</f>
        <v>0</v>
      </c>
      <c r="G26" s="341">
        <f>+G7-G14</f>
        <v>0</v>
      </c>
      <c r="H26" s="341">
        <f>+H7-H14</f>
        <v>0</v>
      </c>
      <c r="I26" s="341">
        <f>+I7-I14</f>
        <v>1500000</v>
      </c>
      <c r="J26" s="341"/>
      <c r="K26" s="341">
        <f>+K7-K14</f>
        <v>1500000</v>
      </c>
    </row>
  </sheetData>
  <mergeCells count="1">
    <mergeCell ref="B12:K12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workbookViewId="0">
      <selection activeCell="I8" sqref="I8"/>
    </sheetView>
  </sheetViews>
  <sheetFormatPr baseColWidth="10" defaultColWidth="11.42578125" defaultRowHeight="15" x14ac:dyDescent="0.25"/>
  <cols>
    <col min="9" max="9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6206</v>
      </c>
      <c r="I3" t="s">
        <v>75</v>
      </c>
    </row>
    <row r="4" spans="1:11" x14ac:dyDescent="0.25">
      <c r="E4" t="s">
        <v>6</v>
      </c>
      <c r="F4" s="13" t="s">
        <v>68</v>
      </c>
    </row>
    <row r="5" spans="1:11" ht="15.75" thickBot="1" x14ac:dyDescent="0.3"/>
    <row r="6" spans="1:11" ht="30.75" thickBot="1" x14ac:dyDescent="0.3">
      <c r="A6" s="39" t="s">
        <v>1</v>
      </c>
      <c r="B6" s="45"/>
      <c r="C6" s="45">
        <v>1</v>
      </c>
      <c r="D6" s="45">
        <v>2</v>
      </c>
      <c r="E6" s="45">
        <v>3</v>
      </c>
      <c r="F6" s="45">
        <v>4</v>
      </c>
      <c r="G6" s="45"/>
      <c r="H6" s="45">
        <v>7</v>
      </c>
      <c r="I6" s="45">
        <v>8</v>
      </c>
      <c r="J6" s="51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>
        <v>1000000</v>
      </c>
      <c r="J7" s="28">
        <f>SUM(B7:I7)</f>
        <v>1000000</v>
      </c>
      <c r="K7" s="29">
        <f>J7</f>
        <v>1000000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1000000</v>
      </c>
      <c r="J11" s="27">
        <f t="shared" si="0"/>
        <v>1000000</v>
      </c>
      <c r="K11" s="23">
        <f>K10+J11</f>
        <v>1000000</v>
      </c>
    </row>
    <row r="12" spans="1:11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1" ht="15.75" thickBot="1" x14ac:dyDescent="0.3">
      <c r="A13" s="117"/>
      <c r="B13" s="110"/>
      <c r="C13" s="110"/>
      <c r="D13" s="110"/>
      <c r="E13" s="110"/>
      <c r="F13" s="110"/>
      <c r="G13" s="110"/>
      <c r="H13" s="110"/>
      <c r="I13" s="110"/>
      <c r="J13" s="110">
        <f>SUM(C13:I13)</f>
        <v>0</v>
      </c>
      <c r="K13" s="67">
        <f>+J13</f>
        <v>0</v>
      </c>
    </row>
    <row r="14" spans="1:11" x14ac:dyDescent="0.25">
      <c r="A14" s="109"/>
      <c r="B14" s="80"/>
      <c r="C14" s="80"/>
      <c r="D14" s="80"/>
      <c r="E14" s="80"/>
      <c r="F14" s="80"/>
      <c r="G14" s="80"/>
      <c r="H14" s="80"/>
      <c r="I14" s="80">
        <f>SUM(I13)</f>
        <v>0</v>
      </c>
      <c r="J14" s="124">
        <f>SUM(C14:I14)</f>
        <v>0</v>
      </c>
      <c r="K14" s="12"/>
    </row>
    <row r="15" spans="1:11" x14ac:dyDescent="0.25">
      <c r="A15" s="88"/>
      <c r="B15" s="8"/>
      <c r="C15" s="8"/>
      <c r="D15" s="8"/>
      <c r="E15" s="8"/>
      <c r="F15" s="8"/>
      <c r="G15" s="8"/>
      <c r="H15" s="8"/>
      <c r="I15" s="8"/>
      <c r="J15" s="60"/>
      <c r="K15" s="9"/>
    </row>
    <row r="16" spans="1:11" x14ac:dyDescent="0.25">
      <c r="A16" s="85"/>
      <c r="B16" s="8"/>
      <c r="C16" s="8"/>
      <c r="D16" s="16"/>
      <c r="E16" s="16"/>
      <c r="F16" s="16"/>
      <c r="G16" s="16"/>
      <c r="H16" s="16"/>
      <c r="I16" s="16"/>
      <c r="J16" s="60"/>
      <c r="K16" s="9"/>
    </row>
    <row r="17" spans="1:11" x14ac:dyDescent="0.25">
      <c r="A17" s="109"/>
      <c r="B17" s="80"/>
      <c r="C17" s="80"/>
      <c r="D17" s="80"/>
      <c r="E17" s="80"/>
      <c r="F17" s="80"/>
      <c r="G17" s="80"/>
      <c r="H17" s="80"/>
      <c r="I17" s="80"/>
      <c r="J17" s="80"/>
      <c r="K17" s="82"/>
    </row>
    <row r="18" spans="1:11" x14ac:dyDescent="0.25">
      <c r="A18" s="85"/>
      <c r="B18" s="8"/>
      <c r="C18" s="8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85"/>
      <c r="B19" s="16"/>
      <c r="C19" s="8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8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88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95"/>
      <c r="B22" s="10"/>
      <c r="C22" s="10"/>
      <c r="D22" s="3"/>
      <c r="E22" s="3"/>
      <c r="F22" s="3"/>
      <c r="G22" s="3"/>
      <c r="H22" s="3"/>
      <c r="I22" s="3"/>
      <c r="J22" s="10"/>
      <c r="K22" s="9"/>
    </row>
    <row r="23" spans="1:11" ht="15.75" thickBot="1" x14ac:dyDescent="0.3">
      <c r="A23" s="36" t="s">
        <v>0</v>
      </c>
      <c r="B23" s="15">
        <v>0</v>
      </c>
      <c r="C23" s="15">
        <f>SUM(C21:C22)</f>
        <v>0</v>
      </c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>
        <f>SUM(J21:J22)</f>
        <v>0</v>
      </c>
      <c r="K23" s="14">
        <f>K22</f>
        <v>0</v>
      </c>
    </row>
    <row r="24" spans="1:11" x14ac:dyDescent="0.25">
      <c r="A24" t="s">
        <v>5</v>
      </c>
    </row>
    <row r="26" spans="1:11" x14ac:dyDescent="0.25">
      <c r="A26" s="98" t="s">
        <v>67</v>
      </c>
      <c r="B26" s="343"/>
      <c r="C26" s="343"/>
      <c r="D26" s="343"/>
      <c r="E26" s="343"/>
      <c r="F26" s="341">
        <f>+F7-F14</f>
        <v>0</v>
      </c>
      <c r="G26" s="341">
        <f>+G7-G14</f>
        <v>0</v>
      </c>
      <c r="H26" s="341">
        <f>+H7-H14</f>
        <v>0</v>
      </c>
      <c r="I26" s="341">
        <f>+I7-I14</f>
        <v>1000000</v>
      </c>
      <c r="J26" s="341"/>
      <c r="K26" s="341">
        <f>+K7-K14</f>
        <v>1000000</v>
      </c>
    </row>
  </sheetData>
  <mergeCells count="1">
    <mergeCell ref="B12:K12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6"/>
  <sheetViews>
    <sheetView workbookViewId="0">
      <selection activeCell="J7" sqref="J7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6224</v>
      </c>
      <c r="I3" t="s">
        <v>75</v>
      </c>
    </row>
    <row r="4" spans="1:11" x14ac:dyDescent="0.25">
      <c r="E4" t="s">
        <v>6</v>
      </c>
      <c r="F4" s="13" t="s">
        <v>73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1"/>
      <c r="I6" s="41">
        <v>8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>
        <v>150000</v>
      </c>
      <c r="J7" s="28">
        <f>SUM(B7:I7)</f>
        <v>150000</v>
      </c>
      <c r="K7" s="29">
        <f>J7</f>
        <v>150000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150000</v>
      </c>
      <c r="J11" s="27">
        <f t="shared" si="0"/>
        <v>150000</v>
      </c>
      <c r="K11" s="23">
        <f>K10+J11</f>
        <v>150000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/>
      <c r="B13" s="35"/>
      <c r="C13" s="35"/>
      <c r="D13" s="35"/>
      <c r="E13" s="35"/>
      <c r="F13" s="35"/>
      <c r="G13" s="35"/>
      <c r="H13" s="35"/>
      <c r="I13" s="35"/>
      <c r="J13" s="35">
        <f>SUM(B13:I13)</f>
        <v>0</v>
      </c>
      <c r="K13" s="12">
        <f>J13</f>
        <v>0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15.75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6"/>
  <sheetViews>
    <sheetView workbookViewId="0">
      <selection activeCell="I8" sqref="I8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6225</v>
      </c>
      <c r="I3" t="s">
        <v>75</v>
      </c>
    </row>
    <row r="4" spans="1:11" x14ac:dyDescent="0.25">
      <c r="E4" t="s">
        <v>6</v>
      </c>
      <c r="F4" s="13" t="s">
        <v>72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1"/>
      <c r="I6" s="41">
        <v>8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>
        <v>150000</v>
      </c>
      <c r="J7" s="28">
        <f>SUM(B7:I7)</f>
        <v>150000</v>
      </c>
      <c r="K7" s="29">
        <f>J7</f>
        <v>150000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150000</v>
      </c>
      <c r="J11" s="27">
        <f t="shared" si="0"/>
        <v>150000</v>
      </c>
      <c r="K11" s="23">
        <f>K10+J11</f>
        <v>150000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/>
      <c r="B13" s="35"/>
      <c r="C13" s="35"/>
      <c r="D13" s="35"/>
      <c r="E13" s="35"/>
      <c r="F13" s="35"/>
      <c r="G13" s="35"/>
      <c r="H13" s="35"/>
      <c r="I13" s="35"/>
      <c r="J13" s="35">
        <f>SUM(B13:I13)</f>
        <v>0</v>
      </c>
      <c r="K13" s="12">
        <f>J13</f>
        <v>0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15.75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topLeftCell="A10" workbookViewId="0">
      <selection activeCell="G21" sqref="G21"/>
    </sheetView>
  </sheetViews>
  <sheetFormatPr baseColWidth="10" defaultColWidth="11.42578125" defaultRowHeight="15" x14ac:dyDescent="0.25"/>
  <cols>
    <col min="2" max="2" width="9.85546875" customWidth="1"/>
    <col min="3" max="3" width="13.140625" customWidth="1"/>
    <col min="4" max="4" width="13.28515625" customWidth="1"/>
    <col min="5" max="5" width="10.5703125" customWidth="1"/>
    <col min="6" max="6" width="11" customWidth="1"/>
    <col min="7" max="7" width="13" customWidth="1"/>
    <col min="8" max="8" width="11" customWidth="1"/>
    <col min="9" max="9" width="10.7109375" customWidth="1"/>
    <col min="10" max="11" width="11.7109375" bestFit="1" customWidth="1"/>
    <col min="13" max="13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6226</v>
      </c>
      <c r="I3" t="s">
        <v>75</v>
      </c>
    </row>
    <row r="4" spans="1:11" x14ac:dyDescent="0.25">
      <c r="E4" t="s">
        <v>6</v>
      </c>
      <c r="F4" s="13" t="s">
        <v>62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5">
        <v>7</v>
      </c>
      <c r="I6" s="41">
        <v>8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>
        <v>2000000</v>
      </c>
      <c r="H7" s="26"/>
      <c r="I7" s="26"/>
      <c r="J7" s="28">
        <f>SUM(B7:I7)</f>
        <v>2000000</v>
      </c>
      <c r="K7" s="29">
        <f>J7</f>
        <v>2000000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2000000</v>
      </c>
      <c r="H11" s="27">
        <f t="shared" si="0"/>
        <v>0</v>
      </c>
      <c r="I11" s="27">
        <f t="shared" si="0"/>
        <v>0</v>
      </c>
      <c r="J11" s="27">
        <f t="shared" si="0"/>
        <v>2000000</v>
      </c>
      <c r="K11" s="23">
        <f>K10+J11</f>
        <v>2000000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249" t="s">
        <v>926</v>
      </c>
      <c r="B13" s="250"/>
      <c r="C13" s="57"/>
      <c r="D13" s="57"/>
      <c r="E13" s="57"/>
      <c r="F13" s="57"/>
      <c r="G13" s="57">
        <v>982940</v>
      </c>
      <c r="H13" s="57"/>
      <c r="I13" s="57"/>
      <c r="J13" s="57">
        <f>SUM(B13:I13)</f>
        <v>982940</v>
      </c>
      <c r="K13" s="58">
        <f>J13</f>
        <v>982940</v>
      </c>
    </row>
    <row r="14" spans="1:11" x14ac:dyDescent="0.25">
      <c r="A14" s="18" t="s">
        <v>927</v>
      </c>
      <c r="B14" s="178"/>
      <c r="C14" s="8"/>
      <c r="D14" s="8"/>
      <c r="E14" s="8"/>
      <c r="F14" s="8"/>
      <c r="G14" s="163">
        <v>967600</v>
      </c>
      <c r="H14" s="8"/>
      <c r="I14" s="8"/>
      <c r="J14" s="57">
        <f>SUM(B14:I14)</f>
        <v>967600</v>
      </c>
      <c r="K14" s="9">
        <f>+K13+J14</f>
        <v>1950540</v>
      </c>
    </row>
    <row r="15" spans="1:11" x14ac:dyDescent="0.25">
      <c r="A15" s="17"/>
      <c r="B15" s="180"/>
      <c r="C15" s="16"/>
      <c r="D15" s="16"/>
      <c r="E15" s="16"/>
      <c r="F15" s="16"/>
      <c r="G15" s="16"/>
      <c r="H15" s="16"/>
      <c r="I15" s="16"/>
      <c r="J15" s="16"/>
      <c r="K15" s="74">
        <f>SUM(K14)</f>
        <v>1950540</v>
      </c>
    </row>
    <row r="16" spans="1:11" ht="15.75" thickBot="1" x14ac:dyDescent="0.3">
      <c r="A16" s="268"/>
      <c r="B16" s="238"/>
      <c r="C16" s="194"/>
      <c r="D16" s="194"/>
      <c r="E16" s="194"/>
      <c r="F16" s="194"/>
      <c r="G16" s="194"/>
      <c r="H16" s="194"/>
      <c r="I16" s="194"/>
      <c r="J16" s="194">
        <f>SUM(C16:I16)</f>
        <v>0</v>
      </c>
      <c r="K16" s="295">
        <f>+K15+J16</f>
        <v>1950540</v>
      </c>
    </row>
    <row r="17" spans="1:11" x14ac:dyDescent="0.25">
      <c r="A17" s="17" t="s">
        <v>914</v>
      </c>
      <c r="B17" s="181"/>
      <c r="C17" s="80"/>
      <c r="D17" s="80"/>
      <c r="E17" s="80"/>
      <c r="F17" s="80"/>
      <c r="G17" s="80">
        <f>SUM(G13:G16)</f>
        <v>1950540</v>
      </c>
      <c r="H17" s="80"/>
      <c r="I17" s="80"/>
      <c r="J17" s="80"/>
      <c r="K17" s="82">
        <f>SUM(K16)</f>
        <v>1950540</v>
      </c>
    </row>
    <row r="18" spans="1:11" ht="15.75" thickBot="1" x14ac:dyDescent="0.3">
      <c r="A18" s="270"/>
      <c r="B18" s="182"/>
      <c r="C18" s="10"/>
      <c r="D18" s="10"/>
      <c r="E18" s="10"/>
      <c r="F18" s="10"/>
      <c r="G18" s="10"/>
      <c r="H18" s="10"/>
      <c r="I18" s="10"/>
      <c r="J18" s="10">
        <f>SUM(G18:I18)</f>
        <v>0</v>
      </c>
      <c r="K18" s="11"/>
    </row>
    <row r="19" spans="1:11" x14ac:dyDescent="0.25">
      <c r="A19" s="151"/>
      <c r="B19" s="181"/>
      <c r="C19" s="80"/>
      <c r="D19" s="80"/>
      <c r="E19" s="80"/>
      <c r="F19" s="80"/>
      <c r="G19" s="80"/>
      <c r="H19" s="80"/>
      <c r="I19" s="80"/>
      <c r="J19" s="80"/>
      <c r="K19" s="82">
        <f>SUM(K18)</f>
        <v>0</v>
      </c>
    </row>
    <row r="20" spans="1:11" x14ac:dyDescent="0.25">
      <c r="A20" s="565"/>
      <c r="B20" s="566"/>
      <c r="C20" s="567"/>
      <c r="D20" s="567"/>
      <c r="E20" s="234"/>
      <c r="F20" s="567"/>
      <c r="G20" s="567"/>
      <c r="H20" s="567"/>
      <c r="I20" s="567"/>
      <c r="J20" s="234"/>
      <c r="K20" s="568"/>
    </row>
    <row r="21" spans="1:11" x14ac:dyDescent="0.25">
      <c r="A21" s="1"/>
      <c r="B21" s="17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251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5" spans="1:11" ht="22.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327">
        <f>+G7-G17-G18</f>
        <v>49460</v>
      </c>
      <c r="H26" s="327">
        <f>+H7-H17</f>
        <v>0</v>
      </c>
      <c r="I26" s="327">
        <f>+I7-I17</f>
        <v>0</v>
      </c>
      <c r="J26" s="327"/>
      <c r="K26" s="327">
        <f>SUM(C26:J26)</f>
        <v>49460</v>
      </c>
    </row>
  </sheetData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view="pageLayout" zoomScaleNormal="100" workbookViewId="0">
      <selection activeCell="D10" sqref="D10"/>
    </sheetView>
  </sheetViews>
  <sheetFormatPr baseColWidth="10" defaultColWidth="11.42578125" defaultRowHeight="15" x14ac:dyDescent="0.25"/>
  <cols>
    <col min="2" max="4" width="10.42578125" customWidth="1"/>
    <col min="5" max="5" width="10.85546875" customWidth="1"/>
    <col min="6" max="6" width="10.7109375" customWidth="1"/>
    <col min="7" max="7" width="13" customWidth="1"/>
    <col min="8" max="8" width="10.7109375" customWidth="1"/>
    <col min="9" max="9" width="10.28515625" customWidth="1"/>
    <col min="10" max="10" width="13.28515625" customWidth="1"/>
    <col min="11" max="11" width="11.5703125" customWidth="1"/>
    <col min="12" max="12" width="12.5703125" customWidth="1"/>
    <col min="13" max="13" width="12.425781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6242</v>
      </c>
      <c r="I3" t="s">
        <v>75</v>
      </c>
    </row>
    <row r="4" spans="1:11" x14ac:dyDescent="0.25">
      <c r="E4" t="s">
        <v>6</v>
      </c>
      <c r="F4" s="13" t="s">
        <v>63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>
        <v>7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570" t="s">
        <v>4</v>
      </c>
      <c r="C12" s="571"/>
      <c r="D12" s="571"/>
      <c r="E12" s="571"/>
      <c r="F12" s="571"/>
      <c r="G12" s="571"/>
      <c r="H12" s="571"/>
      <c r="I12" s="571"/>
      <c r="J12" s="571"/>
      <c r="K12" s="572"/>
    </row>
    <row r="13" spans="1:11" x14ac:dyDescent="0.25">
      <c r="A13" s="249"/>
      <c r="B13" s="250"/>
      <c r="C13" s="57"/>
      <c r="D13" s="57"/>
      <c r="E13" s="57"/>
      <c r="F13" s="57"/>
      <c r="G13" s="57"/>
      <c r="H13" s="57"/>
      <c r="I13" s="57"/>
      <c r="J13" s="57">
        <f>SUM(B13:I13)</f>
        <v>0</v>
      </c>
      <c r="K13" s="58">
        <f>J13</f>
        <v>0</v>
      </c>
    </row>
    <row r="14" spans="1:11" x14ac:dyDescent="0.25">
      <c r="A14" s="18"/>
      <c r="B14" s="178"/>
      <c r="C14" s="8"/>
      <c r="D14" s="8"/>
      <c r="E14" s="8"/>
      <c r="F14" s="8"/>
      <c r="G14" s="163"/>
      <c r="H14" s="8"/>
      <c r="I14" s="8"/>
      <c r="J14" s="137">
        <f>SUM(B14:I14)</f>
        <v>0</v>
      </c>
      <c r="K14" s="122">
        <f>K13+J14</f>
        <v>0</v>
      </c>
    </row>
    <row r="15" spans="1:11" ht="15.75" thickBot="1" x14ac:dyDescent="0.3">
      <c r="A15" s="270"/>
      <c r="B15" s="182"/>
      <c r="C15" s="10"/>
      <c r="D15" s="10"/>
      <c r="E15" s="10"/>
      <c r="F15" s="10"/>
      <c r="G15" s="272"/>
      <c r="H15" s="10"/>
      <c r="I15" s="10"/>
      <c r="J15" s="10">
        <f>SUM(B15:I15)</f>
        <v>0</v>
      </c>
      <c r="K15" s="11">
        <f>K14+J15</f>
        <v>0</v>
      </c>
    </row>
    <row r="16" spans="1:11" x14ac:dyDescent="0.25">
      <c r="A16" s="151"/>
      <c r="B16" s="240"/>
      <c r="C16" s="80"/>
      <c r="D16" s="80"/>
      <c r="E16" s="80"/>
      <c r="F16" s="80"/>
      <c r="G16" s="80"/>
      <c r="H16" s="80"/>
      <c r="I16" s="80"/>
      <c r="J16" s="80"/>
      <c r="K16" s="82">
        <f>K15</f>
        <v>0</v>
      </c>
    </row>
    <row r="17" spans="1:11" x14ac:dyDescent="0.25">
      <c r="A17" s="252"/>
      <c r="B17" s="184"/>
      <c r="C17" s="176"/>
      <c r="D17" s="176"/>
      <c r="E17" s="176"/>
      <c r="F17" s="176"/>
      <c r="G17" s="176"/>
      <c r="H17" s="176"/>
      <c r="I17" s="176"/>
      <c r="J17" s="176">
        <f>SUM(C17:I17)</f>
        <v>0</v>
      </c>
      <c r="K17" s="9">
        <f>+K16+J17</f>
        <v>0</v>
      </c>
    </row>
    <row r="18" spans="1:11" ht="15.75" thickBot="1" x14ac:dyDescent="0.3">
      <c r="A18" s="268"/>
      <c r="B18" s="238"/>
      <c r="C18" s="194"/>
      <c r="D18" s="194"/>
      <c r="E18" s="194"/>
      <c r="F18" s="194"/>
      <c r="G18" s="194"/>
      <c r="H18" s="194"/>
      <c r="I18" s="194"/>
      <c r="J18" s="194">
        <f>SUM(C18:I18)</f>
        <v>0</v>
      </c>
      <c r="K18" s="11">
        <f>+K17+J18</f>
        <v>0</v>
      </c>
    </row>
    <row r="19" spans="1:11" x14ac:dyDescent="0.25">
      <c r="A19" s="151"/>
      <c r="B19" s="181"/>
      <c r="C19" s="80"/>
      <c r="D19" s="35"/>
      <c r="E19" s="80"/>
      <c r="F19" s="80"/>
      <c r="G19" s="35"/>
      <c r="H19" s="80"/>
      <c r="I19" s="80"/>
      <c r="J19" s="80"/>
      <c r="K19" s="82">
        <f>SUM(K18)</f>
        <v>0</v>
      </c>
    </row>
    <row r="20" spans="1:11" ht="15.75" thickBot="1" x14ac:dyDescent="0.3">
      <c r="A20" s="270"/>
      <c r="B20" s="251"/>
      <c r="C20" s="10"/>
      <c r="D20" s="10"/>
      <c r="E20" s="10"/>
      <c r="F20" s="10"/>
      <c r="G20" s="10"/>
      <c r="H20" s="10"/>
      <c r="I20" s="10"/>
      <c r="J20" s="10">
        <f>SUM(G20:I20)</f>
        <v>0</v>
      </c>
      <c r="K20" s="11">
        <f>K19+J20</f>
        <v>0</v>
      </c>
    </row>
    <row r="21" spans="1:11" x14ac:dyDescent="0.25">
      <c r="A21" s="151"/>
      <c r="B21" s="181"/>
      <c r="C21" s="80"/>
      <c r="D21" s="80"/>
      <c r="E21" s="80"/>
      <c r="F21" s="80"/>
      <c r="G21" s="80"/>
      <c r="H21" s="80"/>
      <c r="I21" s="80"/>
      <c r="J21" s="80">
        <f>SUM(J20)</f>
        <v>0</v>
      </c>
      <c r="K21" s="82">
        <f>SUM(K20)</f>
        <v>0</v>
      </c>
    </row>
    <row r="22" spans="1:11" ht="15.75" thickBot="1" x14ac:dyDescent="0.3">
      <c r="A22" s="355"/>
      <c r="B22" s="316"/>
      <c r="C22" s="64"/>
      <c r="D22" s="64"/>
      <c r="E22" s="64"/>
      <c r="F22" s="64"/>
      <c r="G22" s="64"/>
      <c r="H22" s="70"/>
      <c r="I22" s="70"/>
      <c r="J22" s="64">
        <f>SUM(G22:I22)</f>
        <v>0</v>
      </c>
      <c r="K22" s="65">
        <f>+K21+J22</f>
        <v>0</v>
      </c>
    </row>
    <row r="23" spans="1:11" ht="15.75" thickBot="1" x14ac:dyDescent="0.3">
      <c r="A23" s="164" t="s">
        <v>0</v>
      </c>
      <c r="B23" s="83" t="s">
        <v>70</v>
      </c>
      <c r="C23" s="83"/>
      <c r="D23" s="332">
        <v>0</v>
      </c>
      <c r="E23" s="41"/>
      <c r="F23" s="333">
        <v>0</v>
      </c>
      <c r="G23" s="83">
        <f>SUM(G21:G22)</f>
        <v>0</v>
      </c>
      <c r="H23" s="83">
        <v>0</v>
      </c>
      <c r="I23" s="83">
        <v>0</v>
      </c>
      <c r="J23" s="83"/>
      <c r="K23" s="149">
        <f>SUM(K22:K22)</f>
        <v>0</v>
      </c>
    </row>
    <row r="24" spans="1:11" x14ac:dyDescent="0.25">
      <c r="A24" t="s">
        <v>5</v>
      </c>
    </row>
    <row r="25" spans="1:11" ht="22.5" customHeight="1" x14ac:dyDescent="0.25"/>
    <row r="26" spans="1:11" x14ac:dyDescent="0.25">
      <c r="A26" s="98"/>
      <c r="B26" s="98"/>
      <c r="C26" s="327">
        <f>+C7-C21</f>
        <v>0</v>
      </c>
      <c r="D26" s="327">
        <f t="shared" ref="D26:I26" si="1">+D7-D21</f>
        <v>0</v>
      </c>
      <c r="E26" s="327">
        <f t="shared" si="1"/>
        <v>0</v>
      </c>
      <c r="F26" s="327">
        <f t="shared" si="1"/>
        <v>0</v>
      </c>
      <c r="G26" s="327">
        <f>+G7-G23</f>
        <v>0</v>
      </c>
      <c r="H26" s="327">
        <f t="shared" si="1"/>
        <v>0</v>
      </c>
      <c r="I26" s="327">
        <f t="shared" si="1"/>
        <v>0</v>
      </c>
      <c r="J26" s="327"/>
      <c r="K26" s="327">
        <f>+K7-K23</f>
        <v>0</v>
      </c>
    </row>
  </sheetData>
  <mergeCells count="1">
    <mergeCell ref="B12:K12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view="pageLayout" topLeftCell="A28" zoomScaleNormal="100" workbookViewId="0">
      <selection activeCell="H8" sqref="H8"/>
    </sheetView>
  </sheetViews>
  <sheetFormatPr baseColWidth="10" defaultColWidth="11.42578125" defaultRowHeight="15" x14ac:dyDescent="0.25"/>
  <cols>
    <col min="8" max="8" width="11.7109375" bestFit="1" customWidth="1"/>
    <col min="11" max="11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6246</v>
      </c>
      <c r="I3" t="s">
        <v>75</v>
      </c>
    </row>
    <row r="4" spans="1:11" x14ac:dyDescent="0.25">
      <c r="E4" t="s">
        <v>6</v>
      </c>
      <c r="F4" s="13" t="s">
        <v>58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5">
        <v>3</v>
      </c>
      <c r="E6" s="45">
        <v>4</v>
      </c>
      <c r="F6" s="41">
        <v>5</v>
      </c>
      <c r="G6" s="41">
        <v>6</v>
      </c>
      <c r="H6" s="41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1500000</v>
      </c>
      <c r="I7" s="26"/>
      <c r="J7" s="28">
        <f>SUM(B7:I7)</f>
        <v>1500000</v>
      </c>
      <c r="K7" s="29">
        <f>J7</f>
        <v>1500000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1500000</v>
      </c>
      <c r="I11" s="27">
        <f t="shared" si="0"/>
        <v>0</v>
      </c>
      <c r="J11" s="27">
        <f t="shared" si="0"/>
        <v>1500000</v>
      </c>
      <c r="K11" s="23">
        <f>K10+J11</f>
        <v>1500000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249"/>
      <c r="B13" s="367"/>
      <c r="C13" s="57"/>
      <c r="D13" s="57"/>
      <c r="E13" s="57"/>
      <c r="F13" s="57"/>
      <c r="G13" s="57"/>
      <c r="H13" s="57"/>
      <c r="I13" s="57"/>
      <c r="J13" s="57">
        <f>SUM(B13:I13)</f>
        <v>0</v>
      </c>
      <c r="K13" s="58">
        <f>J13</f>
        <v>0</v>
      </c>
    </row>
    <row r="14" spans="1:11" ht="15.75" thickBot="1" x14ac:dyDescent="0.3">
      <c r="A14" s="355"/>
      <c r="B14" s="367"/>
      <c r="C14" s="64"/>
      <c r="D14" s="64"/>
      <c r="E14" s="64"/>
      <c r="F14" s="64"/>
      <c r="G14" s="64"/>
      <c r="H14" s="64"/>
      <c r="I14" s="64"/>
      <c r="J14" s="59">
        <f>SUM(B14:I14)</f>
        <v>0</v>
      </c>
      <c r="K14" s="65">
        <f>+K13+J14</f>
        <v>0</v>
      </c>
    </row>
    <row r="15" spans="1:11" ht="15.75" thickBot="1" x14ac:dyDescent="0.3">
      <c r="A15" s="353"/>
      <c r="B15" s="83"/>
      <c r="C15" s="83"/>
      <c r="D15" s="83"/>
      <c r="E15" s="83"/>
      <c r="F15" s="83"/>
      <c r="G15" s="83"/>
      <c r="H15" s="83"/>
      <c r="I15" s="83"/>
      <c r="J15" s="83"/>
      <c r="K15" s="149">
        <f>SUM(K14)</f>
        <v>0</v>
      </c>
    </row>
    <row r="16" spans="1:11" x14ac:dyDescent="0.25">
      <c r="A16" s="151"/>
      <c r="B16" s="80"/>
      <c r="C16" s="80"/>
      <c r="D16" s="80"/>
      <c r="E16" s="80"/>
      <c r="F16" s="80"/>
      <c r="G16" s="80"/>
      <c r="H16" s="80"/>
      <c r="I16" s="80"/>
      <c r="J16" s="81"/>
      <c r="K16" s="100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6" spans="1:11" x14ac:dyDescent="0.25">
      <c r="A26" s="98"/>
      <c r="B26" s="98"/>
      <c r="C26" s="98"/>
      <c r="D26" s="327">
        <f>+D7-D23</f>
        <v>0</v>
      </c>
      <c r="E26" s="327">
        <f>+E7-E23</f>
        <v>0</v>
      </c>
      <c r="F26" s="327">
        <f>+F7-F23</f>
        <v>0</v>
      </c>
      <c r="G26" s="327">
        <f>+G7-G23</f>
        <v>0</v>
      </c>
      <c r="H26" s="327">
        <f>+H7-H15</f>
        <v>1500000</v>
      </c>
      <c r="I26" s="327">
        <f>+I7-I15</f>
        <v>0</v>
      </c>
      <c r="J26" s="327"/>
      <c r="K26" s="327">
        <f>+K7-K15</f>
        <v>1500000</v>
      </c>
    </row>
  </sheetData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57"/>
  <sheetViews>
    <sheetView view="pageLayout" topLeftCell="A31" zoomScaleNormal="100" workbookViewId="0">
      <selection activeCell="H46" sqref="H46"/>
    </sheetView>
  </sheetViews>
  <sheetFormatPr baseColWidth="10" defaultColWidth="11.42578125" defaultRowHeight="15" x14ac:dyDescent="0.25"/>
  <cols>
    <col min="2" max="2" width="12.5703125" customWidth="1"/>
    <col min="3" max="3" width="10.5703125" customWidth="1"/>
    <col min="4" max="4" width="11.42578125" customWidth="1"/>
    <col min="5" max="5" width="11.7109375" customWidth="1"/>
    <col min="6" max="6" width="13.140625" customWidth="1"/>
    <col min="7" max="7" width="12.140625" customWidth="1"/>
    <col min="8" max="8" width="11.28515625" customWidth="1"/>
    <col min="9" max="9" width="10.85546875" customWidth="1"/>
    <col min="10" max="10" width="11.7109375" bestFit="1" customWidth="1"/>
    <col min="11" max="11" width="12.1406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6250</v>
      </c>
      <c r="I3" t="s">
        <v>75</v>
      </c>
    </row>
    <row r="4" spans="1:11" x14ac:dyDescent="0.25">
      <c r="E4" t="s">
        <v>6</v>
      </c>
      <c r="F4" s="13" t="s">
        <v>7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5">
        <v>3</v>
      </c>
      <c r="E6" s="45">
        <v>4</v>
      </c>
      <c r="F6" s="41">
        <v>5</v>
      </c>
      <c r="G6" s="41">
        <v>6</v>
      </c>
      <c r="H6" s="41">
        <v>7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>
        <v>600000</v>
      </c>
      <c r="E7" s="26">
        <v>700000</v>
      </c>
      <c r="F7" s="26">
        <v>2100000</v>
      </c>
      <c r="G7" s="26"/>
      <c r="H7" s="26">
        <v>200000</v>
      </c>
      <c r="I7" s="26"/>
      <c r="J7" s="28">
        <f>SUM(B7:I7)</f>
        <v>3600000</v>
      </c>
      <c r="K7" s="29">
        <f>J7</f>
        <v>3600000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600000</v>
      </c>
      <c r="E11" s="27">
        <f t="shared" si="0"/>
        <v>700000</v>
      </c>
      <c r="F11" s="27">
        <f t="shared" si="0"/>
        <v>2100000</v>
      </c>
      <c r="G11" s="27">
        <f t="shared" si="0"/>
        <v>0</v>
      </c>
      <c r="H11" s="27">
        <f t="shared" si="0"/>
        <v>200000</v>
      </c>
      <c r="I11" s="27">
        <f t="shared" si="0"/>
        <v>0</v>
      </c>
      <c r="J11" s="27">
        <f t="shared" si="0"/>
        <v>3600000</v>
      </c>
      <c r="K11" s="23">
        <f>K10+J11</f>
        <v>3600000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249" t="s">
        <v>539</v>
      </c>
      <c r="B13" s="250"/>
      <c r="C13" s="57"/>
      <c r="D13" s="57"/>
      <c r="E13" s="57"/>
      <c r="F13" s="302">
        <v>200000</v>
      </c>
      <c r="G13" s="57"/>
      <c r="H13" s="57"/>
      <c r="I13" s="57"/>
      <c r="J13" s="57">
        <f>SUM(B13:I13)</f>
        <v>200000</v>
      </c>
      <c r="K13" s="58">
        <f>J13</f>
        <v>200000</v>
      </c>
    </row>
    <row r="14" spans="1:11" ht="15.75" thickBot="1" x14ac:dyDescent="0.3">
      <c r="A14" s="270" t="s">
        <v>547</v>
      </c>
      <c r="B14" s="182"/>
      <c r="C14" s="10"/>
      <c r="D14" s="10"/>
      <c r="E14" s="242">
        <v>400000</v>
      </c>
      <c r="F14" s="10"/>
      <c r="G14" s="10"/>
      <c r="H14" s="10"/>
      <c r="I14" s="10"/>
      <c r="J14" s="10">
        <f>SUM(B14:I14)</f>
        <v>400000</v>
      </c>
      <c r="K14" s="11">
        <f>+K13+J14</f>
        <v>600000</v>
      </c>
    </row>
    <row r="15" spans="1:11" x14ac:dyDescent="0.25">
      <c r="A15" s="151" t="s">
        <v>66</v>
      </c>
      <c r="B15" s="240"/>
      <c r="C15" s="80"/>
      <c r="D15" s="80"/>
      <c r="E15" s="80">
        <f>SUM(E13:E14)</f>
        <v>400000</v>
      </c>
      <c r="F15" s="80">
        <f>SUM(F13:F14)</f>
        <v>200000</v>
      </c>
      <c r="G15" s="80">
        <f>SUM(G13:G14)</f>
        <v>0</v>
      </c>
      <c r="H15" s="80">
        <f>SUM(H13:H14)</f>
        <v>0</v>
      </c>
      <c r="I15" s="80"/>
      <c r="J15" s="80">
        <f>SUM(J13:J14)</f>
        <v>600000</v>
      </c>
      <c r="K15" s="82">
        <f>+K14</f>
        <v>600000</v>
      </c>
    </row>
    <row r="16" spans="1:11" ht="15.75" thickBot="1" x14ac:dyDescent="0.3">
      <c r="A16" s="252" t="s">
        <v>645</v>
      </c>
      <c r="B16" s="184"/>
      <c r="C16" s="176"/>
      <c r="D16" s="176"/>
      <c r="E16" s="176"/>
      <c r="F16" s="176"/>
      <c r="G16" s="176"/>
      <c r="H16" s="176">
        <v>200000</v>
      </c>
      <c r="I16" s="176"/>
      <c r="J16" s="176">
        <f>SUM(C16:I16)</f>
        <v>200000</v>
      </c>
      <c r="K16" s="9">
        <f>+J16+K15</f>
        <v>800000</v>
      </c>
    </row>
    <row r="17" spans="1:11" x14ac:dyDescent="0.25">
      <c r="A17" s="7" t="s">
        <v>69</v>
      </c>
      <c r="B17" s="118"/>
      <c r="C17" s="118"/>
      <c r="D17" s="119"/>
      <c r="E17" s="119">
        <f>SUM(E15:E16)</f>
        <v>400000</v>
      </c>
      <c r="F17" s="119">
        <f>SUM(F14:F16)</f>
        <v>200000</v>
      </c>
      <c r="G17" s="119">
        <f>SUM(G14:G16)</f>
        <v>0</v>
      </c>
      <c r="H17" s="119">
        <f>SUM(H14:H16)</f>
        <v>200000</v>
      </c>
      <c r="I17" s="119">
        <f>SUM(I14:I16)</f>
        <v>0</v>
      </c>
      <c r="J17" s="119">
        <f>SUM(J16)</f>
        <v>200000</v>
      </c>
      <c r="K17" s="120">
        <f>+K16</f>
        <v>800000</v>
      </c>
    </row>
    <row r="18" spans="1:11" x14ac:dyDescent="0.25">
      <c r="A18" s="355" t="s">
        <v>729</v>
      </c>
      <c r="B18" s="522"/>
      <c r="C18" s="175"/>
      <c r="D18" s="175">
        <v>82600</v>
      </c>
      <c r="E18" s="175"/>
      <c r="F18" s="175"/>
      <c r="G18" s="175"/>
      <c r="H18" s="175"/>
      <c r="I18" s="175"/>
      <c r="J18" s="175">
        <f>SUM(C18:I18)</f>
        <v>82600</v>
      </c>
      <c r="K18" s="65">
        <f>+K17+J18</f>
        <v>882600</v>
      </c>
    </row>
    <row r="19" spans="1:11" x14ac:dyDescent="0.25">
      <c r="A19" s="355" t="s">
        <v>720</v>
      </c>
      <c r="B19" s="522"/>
      <c r="C19" s="175"/>
      <c r="D19" s="175"/>
      <c r="E19" s="175"/>
      <c r="F19" s="175">
        <v>399902</v>
      </c>
      <c r="G19" s="16"/>
      <c r="H19" s="16"/>
      <c r="I19" s="16"/>
      <c r="J19" s="175">
        <f>SUM(C19:I19)</f>
        <v>399902</v>
      </c>
      <c r="K19" s="65">
        <f>+K18+J19</f>
        <v>1282502</v>
      </c>
    </row>
    <row r="20" spans="1:11" x14ac:dyDescent="0.25">
      <c r="A20" s="355" t="s">
        <v>725</v>
      </c>
      <c r="B20" s="522"/>
      <c r="C20" s="175"/>
      <c r="D20" s="175"/>
      <c r="E20" s="175"/>
      <c r="F20" s="175">
        <v>869896</v>
      </c>
      <c r="G20" s="8"/>
      <c r="H20" s="8"/>
      <c r="I20" s="8"/>
      <c r="J20" s="8">
        <f>SUM(D20:I20)</f>
        <v>869896</v>
      </c>
      <c r="K20" s="65">
        <f>+K19+J20</f>
        <v>2152398</v>
      </c>
    </row>
    <row r="21" spans="1:11" ht="15.75" thickBot="1" x14ac:dyDescent="0.3">
      <c r="A21" s="515" t="s">
        <v>726</v>
      </c>
      <c r="B21" s="251"/>
      <c r="C21" s="3"/>
      <c r="D21" s="3"/>
      <c r="E21" s="3"/>
      <c r="F21" s="10">
        <v>479434</v>
      </c>
      <c r="G21" s="10"/>
      <c r="H21" s="10"/>
      <c r="I21" s="10"/>
      <c r="J21" s="10">
        <f>SUM(D21:I21)</f>
        <v>479434</v>
      </c>
      <c r="K21" s="10">
        <f>+K20+J21</f>
        <v>2631832</v>
      </c>
    </row>
    <row r="22" spans="1:11" x14ac:dyDescent="0.25">
      <c r="A22" s="539" t="s">
        <v>70</v>
      </c>
      <c r="B22" s="181"/>
      <c r="C22" s="80"/>
      <c r="D22" s="80">
        <f t="shared" ref="D22:I22" si="1">SUM(D17:D21)</f>
        <v>82600</v>
      </c>
      <c r="E22" s="80">
        <f t="shared" si="1"/>
        <v>400000</v>
      </c>
      <c r="F22" s="80">
        <f t="shared" si="1"/>
        <v>1949232</v>
      </c>
      <c r="G22" s="80">
        <f t="shared" si="1"/>
        <v>0</v>
      </c>
      <c r="H22" s="80">
        <f t="shared" si="1"/>
        <v>200000</v>
      </c>
      <c r="I22" s="80">
        <f t="shared" si="1"/>
        <v>0</v>
      </c>
      <c r="J22" s="80">
        <f>SUM(J18:J21)</f>
        <v>1831832</v>
      </c>
      <c r="K22" s="485">
        <f>+K21</f>
        <v>2631832</v>
      </c>
    </row>
    <row r="23" spans="1:11" x14ac:dyDescent="0.25">
      <c r="A23" s="547" t="s">
        <v>897</v>
      </c>
      <c r="B23" s="181"/>
      <c r="C23" s="80"/>
      <c r="D23" s="80"/>
      <c r="E23" s="81">
        <v>300000</v>
      </c>
      <c r="F23" s="80"/>
      <c r="G23" s="80"/>
      <c r="H23" s="80"/>
      <c r="I23" s="80"/>
      <c r="J23" s="81">
        <f>SUM(D23:I23)</f>
        <v>300000</v>
      </c>
      <c r="K23" s="100">
        <f>K22+J23</f>
        <v>2931832</v>
      </c>
    </row>
    <row r="24" spans="1:11" ht="18" customHeight="1" thickBot="1" x14ac:dyDescent="0.3">
      <c r="A24" s="270"/>
      <c r="B24" s="182"/>
      <c r="C24" s="10"/>
      <c r="D24" s="10"/>
      <c r="E24" s="10"/>
      <c r="F24" s="10"/>
      <c r="G24" s="10"/>
      <c r="H24" s="10"/>
      <c r="I24" s="10"/>
      <c r="J24" s="10">
        <f>SUM(C24:I24)</f>
        <v>0</v>
      </c>
      <c r="K24" s="11">
        <f>K23+J24</f>
        <v>2931832</v>
      </c>
    </row>
    <row r="25" spans="1:11" ht="21.75" customHeight="1" thickBot="1" x14ac:dyDescent="0.3">
      <c r="A25" s="36" t="s">
        <v>0</v>
      </c>
      <c r="B25" s="15" t="s">
        <v>74</v>
      </c>
      <c r="C25" s="15"/>
      <c r="D25" s="37">
        <f>SUM(D22:D24)</f>
        <v>82600</v>
      </c>
      <c r="E25" s="37">
        <f>SUM(E22:E24)</f>
        <v>700000</v>
      </c>
      <c r="F25" s="37">
        <f>SUM(F22:F24)</f>
        <v>1949232</v>
      </c>
      <c r="G25" s="37">
        <f>SUM(G22:G24)</f>
        <v>0</v>
      </c>
      <c r="H25" s="37">
        <f>SUM(H22:H24)</f>
        <v>200000</v>
      </c>
      <c r="I25" s="37">
        <f>SUM(I17:I24)</f>
        <v>0</v>
      </c>
      <c r="J25" s="15">
        <f>SUM(J24)</f>
        <v>0</v>
      </c>
      <c r="K25" s="14">
        <f>SUM(K24)</f>
        <v>2931832</v>
      </c>
    </row>
    <row r="26" spans="1:11" ht="15.75" customHeight="1" x14ac:dyDescent="0.25">
      <c r="A26" t="s">
        <v>5</v>
      </c>
    </row>
    <row r="27" spans="1:11" x14ac:dyDescent="0.25">
      <c r="A27" s="98" t="s">
        <v>67</v>
      </c>
      <c r="B27" s="98"/>
      <c r="C27" s="98"/>
      <c r="D27" s="327">
        <f t="shared" ref="D27:I27" si="2">+D7-D25</f>
        <v>517400</v>
      </c>
      <c r="E27" s="327">
        <f t="shared" si="2"/>
        <v>0</v>
      </c>
      <c r="F27" s="327">
        <f t="shared" si="2"/>
        <v>150768</v>
      </c>
      <c r="G27" s="327">
        <f t="shared" si="2"/>
        <v>0</v>
      </c>
      <c r="H27" s="327">
        <f t="shared" si="2"/>
        <v>0</v>
      </c>
      <c r="I27" s="327">
        <f t="shared" si="2"/>
        <v>0</v>
      </c>
      <c r="J27" s="327"/>
      <c r="K27" s="327">
        <f>SUM(D27:J27)</f>
        <v>668168</v>
      </c>
    </row>
    <row r="28" spans="1:11" x14ac:dyDescent="0.25">
      <c r="A28" s="146"/>
      <c r="B28" s="146"/>
      <c r="C28" s="146"/>
      <c r="D28" s="344"/>
      <c r="E28" s="344"/>
      <c r="F28" s="344"/>
      <c r="G28" s="530"/>
      <c r="H28" s="530"/>
      <c r="I28" s="530"/>
      <c r="J28" s="344"/>
      <c r="K28" s="344"/>
    </row>
    <row r="29" spans="1:11" x14ac:dyDescent="0.25">
      <c r="A29" t="s">
        <v>9</v>
      </c>
      <c r="E29" t="s">
        <v>50</v>
      </c>
      <c r="I29" t="s">
        <v>45</v>
      </c>
    </row>
    <row r="30" spans="1:11" x14ac:dyDescent="0.25">
      <c r="A30" t="s">
        <v>44</v>
      </c>
    </row>
    <row r="31" spans="1:11" x14ac:dyDescent="0.25">
      <c r="E31" t="s">
        <v>13</v>
      </c>
      <c r="F31" s="13">
        <v>6250</v>
      </c>
      <c r="I31" t="s">
        <v>75</v>
      </c>
    </row>
    <row r="32" spans="1:11" x14ac:dyDescent="0.25">
      <c r="E32" t="s">
        <v>6</v>
      </c>
      <c r="F32" s="13" t="s">
        <v>7</v>
      </c>
    </row>
    <row r="33" spans="1:11" ht="15.75" thickBot="1" x14ac:dyDescent="0.3"/>
    <row r="34" spans="1:11" ht="30.75" thickBot="1" x14ac:dyDescent="0.3">
      <c r="A34" s="75" t="s">
        <v>42</v>
      </c>
      <c r="B34" s="165"/>
      <c r="C34" s="45"/>
      <c r="D34" s="45">
        <v>3</v>
      </c>
      <c r="E34" s="45">
        <v>4</v>
      </c>
      <c r="F34" s="45">
        <v>5</v>
      </c>
      <c r="G34" s="45"/>
      <c r="H34" s="45">
        <v>7</v>
      </c>
      <c r="I34" s="45"/>
      <c r="J34" s="51" t="s">
        <v>16</v>
      </c>
      <c r="K34" s="139" t="s">
        <v>17</v>
      </c>
    </row>
    <row r="35" spans="1:11" x14ac:dyDescent="0.25">
      <c r="A35" s="76" t="s">
        <v>43</v>
      </c>
      <c r="B35" s="166" t="s">
        <v>915</v>
      </c>
      <c r="C35" s="35">
        <f>+C21</f>
        <v>0</v>
      </c>
      <c r="D35" s="35">
        <f t="shared" ref="D35:K35" si="3">D25</f>
        <v>82600</v>
      </c>
      <c r="E35" s="35">
        <f t="shared" si="3"/>
        <v>700000</v>
      </c>
      <c r="F35" s="35">
        <f t="shared" si="3"/>
        <v>1949232</v>
      </c>
      <c r="G35" s="35">
        <f t="shared" si="3"/>
        <v>0</v>
      </c>
      <c r="H35" s="35">
        <f t="shared" si="3"/>
        <v>200000</v>
      </c>
      <c r="I35" s="35">
        <f t="shared" si="3"/>
        <v>0</v>
      </c>
      <c r="J35" s="35">
        <f t="shared" si="3"/>
        <v>0</v>
      </c>
      <c r="K35" s="35">
        <f t="shared" si="3"/>
        <v>2931832</v>
      </c>
    </row>
    <row r="36" spans="1:11" x14ac:dyDescent="0.25">
      <c r="A36" s="355" t="s">
        <v>901</v>
      </c>
      <c r="B36" s="179"/>
      <c r="C36" s="64"/>
      <c r="D36" s="64">
        <v>107800</v>
      </c>
      <c r="E36" s="550"/>
      <c r="F36" s="124"/>
      <c r="G36" s="124"/>
      <c r="H36" s="124"/>
      <c r="I36" s="124"/>
      <c r="J36" s="78">
        <f>SUM(C36:I36)</f>
        <v>107800</v>
      </c>
      <c r="K36" s="16">
        <f t="shared" ref="K36:K41" si="4">+K35+J36</f>
        <v>3039632</v>
      </c>
    </row>
    <row r="37" spans="1:11" x14ac:dyDescent="0.25">
      <c r="A37" s="456" t="s">
        <v>902</v>
      </c>
      <c r="B37" s="456"/>
      <c r="C37" s="8"/>
      <c r="D37" s="203">
        <v>107800</v>
      </c>
      <c r="E37" s="548"/>
      <c r="F37" s="175"/>
      <c r="G37" s="175"/>
      <c r="H37" s="70"/>
      <c r="I37" s="70"/>
      <c r="J37" s="64">
        <f>SUM(C37:I37)</f>
        <v>107800</v>
      </c>
      <c r="K37" s="16">
        <f t="shared" si="4"/>
        <v>3147432</v>
      </c>
    </row>
    <row r="38" spans="1:11" x14ac:dyDescent="0.25">
      <c r="A38" s="456" t="s">
        <v>903</v>
      </c>
      <c r="B38" s="456"/>
      <c r="C38" s="8"/>
      <c r="D38" s="8">
        <v>107800</v>
      </c>
      <c r="E38" s="8"/>
      <c r="F38" s="8"/>
      <c r="G38" s="8"/>
      <c r="H38" s="8"/>
      <c r="I38" s="8"/>
      <c r="J38" s="8">
        <f>SUM(J37)</f>
        <v>107800</v>
      </c>
      <c r="K38" s="65">
        <f t="shared" si="4"/>
        <v>3255232</v>
      </c>
    </row>
    <row r="39" spans="1:11" x14ac:dyDescent="0.25">
      <c r="A39" s="145"/>
      <c r="B39" s="191"/>
      <c r="C39" s="81"/>
      <c r="D39" s="81"/>
      <c r="E39" s="81"/>
      <c r="F39" s="81"/>
      <c r="G39" s="81"/>
      <c r="H39" s="81"/>
      <c r="I39" s="81"/>
      <c r="J39" s="8">
        <f>SUM(C39:I39)</f>
        <v>0</v>
      </c>
      <c r="K39" s="65">
        <f t="shared" si="4"/>
        <v>3255232</v>
      </c>
    </row>
    <row r="40" spans="1:11" x14ac:dyDescent="0.25">
      <c r="A40" s="256"/>
      <c r="B40" s="257"/>
      <c r="C40" s="258"/>
      <c r="D40" s="258"/>
      <c r="E40" s="258"/>
      <c r="F40" s="258"/>
      <c r="G40" s="258"/>
      <c r="H40" s="177"/>
      <c r="I40" s="177"/>
      <c r="J40" s="8">
        <f>SUM(C40:I40)</f>
        <v>0</v>
      </c>
      <c r="K40" s="9">
        <f t="shared" si="4"/>
        <v>3255232</v>
      </c>
    </row>
    <row r="41" spans="1:11" ht="15.75" thickBot="1" x14ac:dyDescent="0.3">
      <c r="A41" s="227"/>
      <c r="B41" s="279"/>
      <c r="C41" s="203"/>
      <c r="D41" s="203"/>
      <c r="E41" s="203"/>
      <c r="F41" s="203"/>
      <c r="G41" s="185"/>
      <c r="H41" s="185"/>
      <c r="I41" s="185"/>
      <c r="J41" s="8">
        <f>SUM(C41:I41)</f>
        <v>0</v>
      </c>
      <c r="K41" s="9">
        <f t="shared" si="4"/>
        <v>3255232</v>
      </c>
    </row>
    <row r="42" spans="1:11" x14ac:dyDescent="0.25">
      <c r="A42" s="356"/>
      <c r="B42" s="509" t="s">
        <v>914</v>
      </c>
      <c r="C42" s="77"/>
      <c r="D42" s="77">
        <f t="shared" ref="D42:I42" si="5">SUM(D35:D41)</f>
        <v>406000</v>
      </c>
      <c r="E42" s="77">
        <f t="shared" si="5"/>
        <v>700000</v>
      </c>
      <c r="F42" s="77">
        <f t="shared" si="5"/>
        <v>1949232</v>
      </c>
      <c r="G42" s="77">
        <f t="shared" si="5"/>
        <v>0</v>
      </c>
      <c r="H42" s="77">
        <f t="shared" si="5"/>
        <v>200000</v>
      </c>
      <c r="I42" s="77">
        <f t="shared" si="5"/>
        <v>0</v>
      </c>
      <c r="J42" s="77">
        <f>SUM(J39:J41)</f>
        <v>0</v>
      </c>
      <c r="K42" s="510">
        <f>SUM(K41)</f>
        <v>3255232</v>
      </c>
    </row>
    <row r="43" spans="1:11" x14ac:dyDescent="0.25">
      <c r="A43" s="200"/>
      <c r="B43" s="200"/>
      <c r="C43" s="8"/>
      <c r="D43" s="8"/>
      <c r="E43" s="16"/>
      <c r="F43" s="8"/>
      <c r="G43" s="8"/>
      <c r="H43" s="8"/>
      <c r="I43" s="8"/>
      <c r="J43" s="8">
        <f>SUM(D43:I43)</f>
        <v>0</v>
      </c>
      <c r="K43" s="8"/>
    </row>
    <row r="44" spans="1:11" x14ac:dyDescent="0.25">
      <c r="A44" s="436"/>
      <c r="B44" s="436"/>
      <c r="C44" s="16"/>
      <c r="D44" s="16"/>
      <c r="E44" s="16"/>
      <c r="F44" s="16"/>
      <c r="G44" s="16"/>
      <c r="H44" s="16"/>
      <c r="I44" s="16"/>
      <c r="J44" s="16">
        <f>SUM(J43)</f>
        <v>0</v>
      </c>
      <c r="K44" s="16"/>
    </row>
    <row r="45" spans="1:11" x14ac:dyDescent="0.25">
      <c r="A45" s="436"/>
      <c r="B45" s="436"/>
      <c r="C45" s="16"/>
      <c r="D45" s="8"/>
      <c r="E45" s="8"/>
      <c r="F45" s="16"/>
      <c r="G45" s="16"/>
      <c r="H45" s="16"/>
      <c r="I45" s="16"/>
      <c r="J45" s="8">
        <f>SUM(D45:I45)</f>
        <v>0</v>
      </c>
      <c r="K45" s="8"/>
    </row>
    <row r="46" spans="1:11" x14ac:dyDescent="0.25">
      <c r="A46" s="436"/>
      <c r="B46" s="436"/>
      <c r="C46" s="16"/>
      <c r="D46" s="16"/>
      <c r="E46" s="16"/>
      <c r="F46" s="16"/>
      <c r="G46" s="16"/>
      <c r="H46" s="16"/>
      <c r="I46" s="16"/>
      <c r="J46" s="16">
        <f>SUM(J45)</f>
        <v>0</v>
      </c>
      <c r="K46" s="16"/>
    </row>
    <row r="47" spans="1:11" x14ac:dyDescent="0.25">
      <c r="A47" s="145"/>
      <c r="B47" s="191"/>
      <c r="C47" s="81"/>
      <c r="D47" s="81"/>
      <c r="E47" s="81"/>
      <c r="F47" s="80"/>
      <c r="G47" s="80"/>
      <c r="H47" s="80"/>
      <c r="I47" s="80"/>
      <c r="J47" s="81"/>
      <c r="K47" s="100"/>
    </row>
    <row r="48" spans="1:11" ht="15.75" thickBot="1" x14ac:dyDescent="0.3">
      <c r="A48" s="73"/>
      <c r="B48" s="292"/>
      <c r="C48" s="10"/>
      <c r="D48" s="10"/>
      <c r="E48" s="3"/>
      <c r="F48" s="10"/>
      <c r="G48" s="3"/>
      <c r="H48" s="3"/>
      <c r="I48" s="3"/>
      <c r="J48" s="10"/>
      <c r="K48" s="11"/>
    </row>
    <row r="49" spans="1:11" x14ac:dyDescent="0.25">
      <c r="A49" s="79"/>
      <c r="B49" s="190"/>
      <c r="C49" s="80"/>
      <c r="D49" s="80"/>
      <c r="E49" s="80"/>
      <c r="F49" s="80"/>
      <c r="G49" s="80"/>
      <c r="H49" s="80"/>
      <c r="I49" s="80"/>
      <c r="J49" s="80"/>
      <c r="K49" s="82"/>
    </row>
    <row r="50" spans="1:11" x14ac:dyDescent="0.25">
      <c r="A50" s="206"/>
      <c r="B50" s="207"/>
      <c r="C50" s="81"/>
      <c r="D50" s="81"/>
      <c r="E50" s="81"/>
      <c r="F50" s="81"/>
      <c r="G50" s="81"/>
      <c r="H50" s="81"/>
      <c r="I50" s="81"/>
      <c r="J50" s="81"/>
      <c r="K50" s="9"/>
    </row>
    <row r="51" spans="1:11" x14ac:dyDescent="0.25">
      <c r="A51" s="145"/>
      <c r="B51" s="190"/>
      <c r="C51" s="80"/>
      <c r="D51" s="81"/>
      <c r="E51" s="80"/>
      <c r="F51" s="81"/>
      <c r="G51" s="80"/>
      <c r="H51" s="80"/>
      <c r="I51" s="80"/>
      <c r="J51" s="81"/>
      <c r="K51" s="9"/>
    </row>
    <row r="52" spans="1:11" x14ac:dyDescent="0.25">
      <c r="A52" s="227"/>
      <c r="B52" s="279"/>
      <c r="C52" s="203"/>
      <c r="D52" s="176"/>
      <c r="E52" s="176"/>
      <c r="F52" s="185"/>
      <c r="G52" s="176"/>
      <c r="H52" s="176"/>
      <c r="I52" s="176"/>
      <c r="J52" s="81"/>
      <c r="K52" s="9"/>
    </row>
    <row r="53" spans="1:11" ht="15.75" thickBot="1" x14ac:dyDescent="0.3">
      <c r="A53" s="213"/>
      <c r="B53" s="299"/>
      <c r="C53" s="214"/>
      <c r="D53" s="194"/>
      <c r="E53" s="199"/>
      <c r="F53" s="199"/>
      <c r="G53" s="199"/>
      <c r="H53" s="199"/>
      <c r="I53" s="199"/>
      <c r="J53" s="81"/>
      <c r="K53" s="9"/>
    </row>
    <row r="54" spans="1:11" ht="15.75" thickBot="1" x14ac:dyDescent="0.3">
      <c r="A54" s="36" t="s">
        <v>61</v>
      </c>
      <c r="B54" s="193"/>
      <c r="C54" s="15">
        <f>SUM(C49:C53)</f>
        <v>0</v>
      </c>
      <c r="D54" s="15">
        <f t="shared" ref="D54:I54" si="6">SUM(D49:D53)</f>
        <v>0</v>
      </c>
      <c r="E54" s="15">
        <f t="shared" si="6"/>
        <v>0</v>
      </c>
      <c r="F54" s="15">
        <f t="shared" si="6"/>
        <v>0</v>
      </c>
      <c r="G54" s="15">
        <f t="shared" si="6"/>
        <v>0</v>
      </c>
      <c r="H54" s="15">
        <f t="shared" si="6"/>
        <v>0</v>
      </c>
      <c r="I54" s="15">
        <f t="shared" si="6"/>
        <v>0</v>
      </c>
      <c r="J54" s="15">
        <f>SUM(J50:J53)</f>
        <v>0</v>
      </c>
      <c r="K54" s="14">
        <f>SUM(K53)</f>
        <v>0</v>
      </c>
    </row>
    <row r="55" spans="1:11" x14ac:dyDescent="0.25">
      <c r="A55" t="s">
        <v>5</v>
      </c>
    </row>
    <row r="57" spans="1:11" x14ac:dyDescent="0.25">
      <c r="A57" s="98" t="s">
        <v>67</v>
      </c>
      <c r="B57" s="98"/>
      <c r="C57" s="98"/>
      <c r="D57" s="327">
        <f t="shared" ref="D57:I57" si="7">D11-D42</f>
        <v>194000</v>
      </c>
      <c r="E57" s="327">
        <f t="shared" si="7"/>
        <v>0</v>
      </c>
      <c r="F57" s="327">
        <f t="shared" si="7"/>
        <v>150768</v>
      </c>
      <c r="G57" s="327">
        <f t="shared" si="7"/>
        <v>0</v>
      </c>
      <c r="H57" s="327">
        <f t="shared" si="7"/>
        <v>0</v>
      </c>
      <c r="I57" s="327">
        <f t="shared" si="7"/>
        <v>0</v>
      </c>
      <c r="J57" s="327"/>
      <c r="K57" s="327">
        <f>SUM(D57:J57)</f>
        <v>344768</v>
      </c>
    </row>
  </sheetData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workbookViewId="0">
      <selection activeCell="J8" sqref="J8"/>
    </sheetView>
  </sheetViews>
  <sheetFormatPr baseColWidth="10" defaultColWidth="11.42578125" defaultRowHeight="15" x14ac:dyDescent="0.25"/>
  <cols>
    <col min="2" max="2" width="10.5703125" customWidth="1"/>
    <col min="3" max="3" width="11" customWidth="1"/>
    <col min="4" max="4" width="10.5703125" customWidth="1"/>
    <col min="5" max="5" width="10.85546875" customWidth="1"/>
    <col min="6" max="6" width="11.140625" customWidth="1"/>
    <col min="7" max="7" width="11" customWidth="1"/>
    <col min="8" max="8" width="12.85546875" customWidth="1"/>
    <col min="9" max="9" width="10.28515625" customWidth="1"/>
    <col min="11" max="11" width="12.1406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6256</v>
      </c>
      <c r="I3" t="s">
        <v>75</v>
      </c>
    </row>
    <row r="4" spans="1:11" x14ac:dyDescent="0.25">
      <c r="E4" t="s">
        <v>6</v>
      </c>
      <c r="F4" s="13" t="s">
        <v>31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1000000</v>
      </c>
      <c r="I7" s="26"/>
      <c r="J7" s="28">
        <f>SUM(B7:I7)</f>
        <v>1000000</v>
      </c>
      <c r="K7" s="29">
        <f>J7</f>
        <v>1000000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1000000</v>
      </c>
      <c r="I11" s="27">
        <f t="shared" si="0"/>
        <v>0</v>
      </c>
      <c r="J11" s="27">
        <f t="shared" si="0"/>
        <v>1000000</v>
      </c>
      <c r="K11" s="23">
        <f>K10+J11</f>
        <v>1000000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6"/>
      <c r="B13" s="77"/>
      <c r="C13" s="77"/>
      <c r="D13" s="77"/>
      <c r="E13" s="77"/>
      <c r="F13" s="77"/>
      <c r="G13" s="77"/>
      <c r="H13" s="59"/>
      <c r="I13" s="59"/>
      <c r="J13" s="59">
        <f>SUM(B13:I13)</f>
        <v>0</v>
      </c>
      <c r="K13" s="67">
        <f>J13</f>
        <v>0</v>
      </c>
    </row>
    <row r="14" spans="1:11" ht="15.75" thickBot="1" x14ac:dyDescent="0.3">
      <c r="A14" s="353"/>
      <c r="B14" s="83"/>
      <c r="C14" s="83"/>
      <c r="D14" s="83"/>
      <c r="E14" s="83"/>
      <c r="F14" s="83"/>
      <c r="G14" s="83"/>
      <c r="H14" s="83">
        <f>SUM(H13)</f>
        <v>0</v>
      </c>
      <c r="I14" s="83"/>
      <c r="J14" s="110"/>
      <c r="K14" s="115">
        <f>SUM(K13)</f>
        <v>0</v>
      </c>
    </row>
    <row r="15" spans="1:11" x14ac:dyDescent="0.25">
      <c r="A15" s="357"/>
      <c r="B15" s="81"/>
      <c r="C15" s="81"/>
      <c r="D15" s="81"/>
      <c r="E15" s="81"/>
      <c r="F15" s="81"/>
      <c r="G15" s="81"/>
      <c r="H15" s="81"/>
      <c r="I15" s="81"/>
      <c r="J15" s="81"/>
      <c r="K15" s="100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7"/>
      <c r="B17" s="16"/>
      <c r="C17" s="16"/>
      <c r="D17" s="16"/>
      <c r="E17" s="8"/>
      <c r="F17" s="16"/>
      <c r="G17" s="16"/>
      <c r="H17" s="16"/>
      <c r="I17" s="16"/>
      <c r="J17" s="8"/>
      <c r="K17" s="9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5" spans="1:11" ht="22.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+H7-H14</f>
        <v>1000000</v>
      </c>
      <c r="I26" s="327">
        <f>+I7-I14</f>
        <v>0</v>
      </c>
      <c r="J26" s="327"/>
      <c r="K26" s="327">
        <f>+K7-K14</f>
        <v>1000000</v>
      </c>
    </row>
  </sheetData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topLeftCell="A13" workbookViewId="0">
      <selection activeCell="I3" sqref="I3"/>
    </sheetView>
  </sheetViews>
  <sheetFormatPr baseColWidth="10" defaultColWidth="11.42578125" defaultRowHeight="15" x14ac:dyDescent="0.25"/>
  <cols>
    <col min="2" max="2" width="10.425781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71</v>
      </c>
    </row>
    <row r="3" spans="1:11" x14ac:dyDescent="0.25">
      <c r="E3" t="s">
        <v>13</v>
      </c>
      <c r="F3" s="13">
        <v>6301</v>
      </c>
      <c r="I3" t="s">
        <v>75</v>
      </c>
    </row>
    <row r="4" spans="1:11" x14ac:dyDescent="0.25">
      <c r="E4" t="s">
        <v>6</v>
      </c>
      <c r="F4" s="13" t="s">
        <v>57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5">
        <v>1</v>
      </c>
      <c r="D6" s="56"/>
      <c r="E6" s="56"/>
      <c r="F6" s="56"/>
      <c r="G6" s="45">
        <v>5</v>
      </c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8"/>
      <c r="B13" s="59"/>
      <c r="C13" s="59"/>
      <c r="D13" s="59"/>
      <c r="E13" s="59"/>
      <c r="F13" s="59"/>
      <c r="G13" s="59"/>
      <c r="H13" s="59"/>
      <c r="I13" s="59"/>
      <c r="J13" s="59">
        <f>SUM(B13:I13)</f>
        <v>0</v>
      </c>
      <c r="K13" s="67">
        <f>J13</f>
        <v>0</v>
      </c>
    </row>
    <row r="14" spans="1:11" ht="15.75" thickBot="1" x14ac:dyDescent="0.3">
      <c r="A14" s="353"/>
      <c r="B14" s="83"/>
      <c r="C14" s="83"/>
      <c r="D14" s="83"/>
      <c r="E14" s="83"/>
      <c r="F14" s="83"/>
      <c r="G14" s="83"/>
      <c r="H14" s="83">
        <f>SUM(H13)</f>
        <v>0</v>
      </c>
      <c r="I14" s="83"/>
      <c r="J14" s="110"/>
      <c r="K14" s="149">
        <f>SUM(K13)</f>
        <v>0</v>
      </c>
    </row>
    <row r="15" spans="1:11" x14ac:dyDescent="0.25">
      <c r="A15" s="357"/>
      <c r="B15" s="81"/>
      <c r="C15" s="81"/>
      <c r="D15" s="81"/>
      <c r="E15" s="81"/>
      <c r="F15" s="81"/>
      <c r="G15" s="81"/>
      <c r="H15" s="81"/>
      <c r="I15" s="81"/>
      <c r="J15" s="81"/>
      <c r="K15" s="100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5" spans="1:11" ht="24.7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+H7-H14</f>
        <v>0</v>
      </c>
      <c r="I26" s="327">
        <f>+I7-I14</f>
        <v>0</v>
      </c>
      <c r="J26" s="327"/>
      <c r="K26" s="327">
        <f>+K7-K14</f>
        <v>0</v>
      </c>
    </row>
  </sheetData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workbookViewId="0">
      <selection activeCell="K24" sqref="A1:K24"/>
    </sheetView>
  </sheetViews>
  <sheetFormatPr baseColWidth="10" defaultColWidth="11.42578125" defaultRowHeight="15" x14ac:dyDescent="0.25"/>
  <cols>
    <col min="2" max="2" width="10.425781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71</v>
      </c>
    </row>
    <row r="3" spans="1:11" x14ac:dyDescent="0.25">
      <c r="E3" t="s">
        <v>13</v>
      </c>
      <c r="F3" s="13">
        <v>6306</v>
      </c>
      <c r="I3" t="s">
        <v>75</v>
      </c>
    </row>
    <row r="4" spans="1:11" x14ac:dyDescent="0.25">
      <c r="E4" t="s">
        <v>6</v>
      </c>
      <c r="F4" s="13" t="s">
        <v>57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5">
        <v>1</v>
      </c>
      <c r="D6" s="56"/>
      <c r="E6" s="56"/>
      <c r="F6" s="56"/>
      <c r="G6" s="45">
        <v>5</v>
      </c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500000</v>
      </c>
      <c r="I7" s="26"/>
      <c r="J7" s="28">
        <f>SUM(B7:I7)</f>
        <v>500000</v>
      </c>
      <c r="K7" s="29">
        <f>J7</f>
        <v>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500000</v>
      </c>
      <c r="I11" s="27">
        <f t="shared" si="0"/>
        <v>0</v>
      </c>
      <c r="J11" s="27">
        <f t="shared" si="0"/>
        <v>500000</v>
      </c>
      <c r="K11" s="23">
        <f>K10+J11</f>
        <v>500000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8" t="s">
        <v>917</v>
      </c>
      <c r="B13" s="59"/>
      <c r="C13" s="59"/>
      <c r="D13" s="59"/>
      <c r="E13" s="59"/>
      <c r="F13" s="59"/>
      <c r="G13" s="59"/>
      <c r="H13" s="59">
        <v>500000</v>
      </c>
      <c r="I13" s="59"/>
      <c r="J13" s="59">
        <f>SUM(B13:I13)</f>
        <v>500000</v>
      </c>
      <c r="K13" s="67">
        <f>J13</f>
        <v>500000</v>
      </c>
    </row>
    <row r="14" spans="1:11" ht="15.75" thickBot="1" x14ac:dyDescent="0.3">
      <c r="A14" s="353" t="s">
        <v>914</v>
      </c>
      <c r="B14" s="83"/>
      <c r="C14" s="83"/>
      <c r="D14" s="83"/>
      <c r="E14" s="83"/>
      <c r="F14" s="83"/>
      <c r="G14" s="83"/>
      <c r="H14" s="83">
        <f>SUM(H13)</f>
        <v>500000</v>
      </c>
      <c r="I14" s="83"/>
      <c r="J14" s="110"/>
      <c r="K14" s="149">
        <f>SUM(K13)</f>
        <v>500000</v>
      </c>
    </row>
    <row r="15" spans="1:11" x14ac:dyDescent="0.25">
      <c r="A15" s="357"/>
      <c r="B15" s="81"/>
      <c r="C15" s="81"/>
      <c r="D15" s="81"/>
      <c r="E15" s="81"/>
      <c r="F15" s="81"/>
      <c r="G15" s="81"/>
      <c r="H15" s="81"/>
      <c r="I15" s="81"/>
      <c r="J15" s="81"/>
      <c r="K15" s="100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5" spans="1:11" ht="24.7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+H7-H14</f>
        <v>0</v>
      </c>
      <c r="I26" s="327">
        <f>+I7-I14</f>
        <v>0</v>
      </c>
      <c r="J26" s="327"/>
      <c r="K26" s="327">
        <f>+K7-K14</f>
        <v>0</v>
      </c>
    </row>
  </sheetData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6"/>
  <sheetViews>
    <sheetView workbookViewId="0">
      <selection activeCell="H8" sqref="H8"/>
    </sheetView>
  </sheetViews>
  <sheetFormatPr baseColWidth="10" defaultColWidth="11.42578125" defaultRowHeight="15" x14ac:dyDescent="0.25"/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6336</v>
      </c>
      <c r="I3" t="s">
        <v>75</v>
      </c>
    </row>
    <row r="4" spans="1:11" x14ac:dyDescent="0.25">
      <c r="E4" t="s">
        <v>6</v>
      </c>
      <c r="F4" s="13" t="s">
        <v>56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5">
        <v>1</v>
      </c>
      <c r="D6" s="56"/>
      <c r="E6" s="56"/>
      <c r="F6" s="56"/>
      <c r="G6" s="45">
        <v>5</v>
      </c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500000</v>
      </c>
      <c r="I7" s="26"/>
      <c r="J7" s="28">
        <f>SUM(B7:I7)</f>
        <v>500000</v>
      </c>
      <c r="K7" s="29">
        <f>J7</f>
        <v>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500000</v>
      </c>
      <c r="I11" s="27">
        <f t="shared" si="0"/>
        <v>0</v>
      </c>
      <c r="J11" s="27">
        <f t="shared" si="0"/>
        <v>500000</v>
      </c>
      <c r="K11" s="23">
        <f>K10+J11</f>
        <v>500000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249"/>
      <c r="B13" s="367"/>
      <c r="C13" s="57"/>
      <c r="D13" s="57"/>
      <c r="E13" s="57"/>
      <c r="F13" s="57"/>
      <c r="G13" s="57"/>
      <c r="H13" s="57"/>
      <c r="I13" s="57"/>
      <c r="J13" s="57"/>
      <c r="K13" s="58"/>
    </row>
    <row r="14" spans="1:11" ht="15.75" thickBot="1" x14ac:dyDescent="0.3">
      <c r="A14" s="355"/>
      <c r="B14" s="367"/>
      <c r="C14" s="64"/>
      <c r="D14" s="64"/>
      <c r="E14" s="64"/>
      <c r="F14" s="64"/>
      <c r="G14" s="64"/>
      <c r="H14" s="64"/>
      <c r="I14" s="64"/>
      <c r="J14" s="59"/>
      <c r="K14" s="65"/>
    </row>
    <row r="15" spans="1:11" ht="15.75" thickBot="1" x14ac:dyDescent="0.3">
      <c r="A15" s="353"/>
      <c r="B15" s="83"/>
      <c r="C15" s="83"/>
      <c r="D15" s="83"/>
      <c r="E15" s="83"/>
      <c r="F15" s="83"/>
      <c r="G15" s="83"/>
      <c r="H15" s="83"/>
      <c r="I15" s="83"/>
      <c r="J15" s="83"/>
      <c r="K15" s="149"/>
    </row>
    <row r="16" spans="1:11" ht="15.75" thickBot="1" x14ac:dyDescent="0.3">
      <c r="A16" s="392"/>
      <c r="B16" s="393"/>
      <c r="C16" s="318"/>
      <c r="D16" s="318"/>
      <c r="E16" s="318"/>
      <c r="F16" s="318"/>
      <c r="G16" s="318"/>
      <c r="H16" s="394"/>
      <c r="I16" s="318"/>
      <c r="J16" s="177"/>
      <c r="K16" s="100"/>
    </row>
    <row r="17" spans="1:11" x14ac:dyDescent="0.25">
      <c r="A17" s="252"/>
      <c r="B17" s="395"/>
      <c r="C17" s="176"/>
      <c r="D17" s="176"/>
      <c r="E17" s="176"/>
      <c r="F17" s="176"/>
      <c r="G17" s="176"/>
      <c r="H17" s="394"/>
      <c r="I17" s="176"/>
      <c r="J17" s="177"/>
      <c r="K17" s="100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+H7-H15</f>
        <v>500000</v>
      </c>
      <c r="I26" s="327">
        <f>+I7-I15</f>
        <v>0</v>
      </c>
      <c r="J26" s="327">
        <f>+J7-J15</f>
        <v>500000</v>
      </c>
      <c r="K26" s="327">
        <f>+K7-K15</f>
        <v>500000</v>
      </c>
    </row>
  </sheetData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21"/>
  <sheetViews>
    <sheetView view="pageLayout" zoomScaleNormal="100" workbookViewId="0">
      <selection activeCell="D15" sqref="D15"/>
    </sheetView>
  </sheetViews>
  <sheetFormatPr baseColWidth="10" defaultColWidth="11.42578125" defaultRowHeight="15" x14ac:dyDescent="0.25"/>
  <cols>
    <col min="3" max="3" width="11.7109375" bestFit="1" customWidth="1"/>
    <col min="6" max="6" width="11.7109375" bestFit="1" customWidth="1"/>
    <col min="11" max="11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6341</v>
      </c>
      <c r="I3" t="s">
        <v>75</v>
      </c>
    </row>
    <row r="4" spans="1:11" x14ac:dyDescent="0.25">
      <c r="E4" t="s">
        <v>6</v>
      </c>
      <c r="F4" s="13" t="s">
        <v>46</v>
      </c>
    </row>
    <row r="5" spans="1:11" ht="15.75" thickBot="1" x14ac:dyDescent="0.3">
      <c r="F5" s="13" t="s">
        <v>47</v>
      </c>
      <c r="G5" s="13"/>
      <c r="H5" s="13"/>
    </row>
    <row r="6" spans="1:11" ht="30.75" thickBot="1" x14ac:dyDescent="0.3">
      <c r="A6" s="39" t="s">
        <v>1</v>
      </c>
      <c r="B6" s="41"/>
      <c r="C6" s="45">
        <v>1</v>
      </c>
      <c r="D6" s="56">
        <v>2</v>
      </c>
      <c r="E6" s="56">
        <v>3</v>
      </c>
      <c r="F6" s="56">
        <v>4</v>
      </c>
      <c r="G6" s="45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8" t="s">
        <v>83</v>
      </c>
      <c r="B13" s="59"/>
      <c r="C13" s="59"/>
      <c r="D13" s="59"/>
      <c r="E13" s="59"/>
      <c r="F13" s="59"/>
      <c r="G13" s="59"/>
      <c r="H13" s="59"/>
      <c r="I13" s="59"/>
      <c r="J13" s="59">
        <f>SUM(B13:I13)</f>
        <v>0</v>
      </c>
      <c r="K13" s="115">
        <f>J13</f>
        <v>0</v>
      </c>
    </row>
    <row r="14" spans="1:11" x14ac:dyDescent="0.25">
      <c r="A14" s="98" t="s">
        <v>89</v>
      </c>
      <c r="B14" s="178"/>
      <c r="C14" s="8"/>
      <c r="D14" s="8"/>
      <c r="E14" s="8"/>
      <c r="F14" s="8"/>
      <c r="G14" s="8"/>
      <c r="H14" s="8"/>
      <c r="I14" s="8"/>
      <c r="J14" s="8">
        <f>SUM(C14:I14)</f>
        <v>0</v>
      </c>
      <c r="K14" s="9">
        <f>K13+J14</f>
        <v>0</v>
      </c>
    </row>
    <row r="15" spans="1:11" x14ac:dyDescent="0.25">
      <c r="A15" s="1"/>
      <c r="B15" s="178"/>
      <c r="C15" s="8"/>
      <c r="D15" s="8"/>
      <c r="E15" s="8"/>
      <c r="F15" s="8"/>
      <c r="G15" s="8"/>
      <c r="H15" s="8"/>
      <c r="I15" s="8"/>
      <c r="J15" s="8">
        <f t="shared" ref="J15:J20" si="1">SUM(C15:I15)</f>
        <v>0</v>
      </c>
      <c r="K15" s="9">
        <f t="shared" ref="K15:K20" si="2">+K14+J15</f>
        <v>0</v>
      </c>
    </row>
    <row r="16" spans="1:11" x14ac:dyDescent="0.25">
      <c r="A16" s="98"/>
      <c r="B16" s="178"/>
      <c r="C16" s="8"/>
      <c r="D16" s="8"/>
      <c r="E16" s="8"/>
      <c r="F16" s="8"/>
      <c r="G16" s="8"/>
      <c r="H16" s="8"/>
      <c r="I16" s="8"/>
      <c r="J16" s="8">
        <f t="shared" si="1"/>
        <v>0</v>
      </c>
      <c r="K16" s="9">
        <f t="shared" si="2"/>
        <v>0</v>
      </c>
    </row>
    <row r="17" spans="1:11" x14ac:dyDescent="0.25">
      <c r="A17" s="159"/>
      <c r="B17" s="178"/>
      <c r="C17" s="8"/>
      <c r="D17" s="8"/>
      <c r="E17" s="8"/>
      <c r="F17" s="8"/>
      <c r="G17" s="8"/>
      <c r="H17" s="8"/>
      <c r="I17" s="8"/>
      <c r="J17" s="8">
        <f t="shared" si="1"/>
        <v>0</v>
      </c>
      <c r="K17" s="9">
        <f t="shared" si="2"/>
        <v>0</v>
      </c>
    </row>
    <row r="18" spans="1:11" x14ac:dyDescent="0.25">
      <c r="A18" s="159"/>
      <c r="B18" s="178"/>
      <c r="C18" s="8"/>
      <c r="D18" s="8"/>
      <c r="E18" s="8"/>
      <c r="F18" s="8"/>
      <c r="G18" s="8"/>
      <c r="H18" s="8"/>
      <c r="I18" s="8"/>
      <c r="J18" s="8">
        <f t="shared" si="1"/>
        <v>0</v>
      </c>
      <c r="K18" s="9">
        <f t="shared" si="2"/>
        <v>0</v>
      </c>
    </row>
    <row r="19" spans="1:11" x14ac:dyDescent="0.25">
      <c r="A19" s="159"/>
      <c r="B19" s="178"/>
      <c r="C19" s="8"/>
      <c r="D19" s="8"/>
      <c r="E19" s="8"/>
      <c r="F19" s="8"/>
      <c r="G19" s="8"/>
      <c r="H19" s="8"/>
      <c r="I19" s="8"/>
      <c r="J19" s="8">
        <f t="shared" si="1"/>
        <v>0</v>
      </c>
      <c r="K19" s="9">
        <f t="shared" si="2"/>
        <v>0</v>
      </c>
    </row>
    <row r="20" spans="1:11" ht="15.75" thickBot="1" x14ac:dyDescent="0.3">
      <c r="A20" s="160"/>
      <c r="B20" s="182"/>
      <c r="C20" s="10"/>
      <c r="D20" s="10"/>
      <c r="E20" s="10"/>
      <c r="F20" s="10"/>
      <c r="G20" s="10"/>
      <c r="H20" s="10"/>
      <c r="I20" s="10"/>
      <c r="J20" s="116">
        <f t="shared" si="1"/>
        <v>0</v>
      </c>
      <c r="K20" s="157">
        <f t="shared" si="2"/>
        <v>0</v>
      </c>
    </row>
    <row r="21" spans="1:11" x14ac:dyDescent="0.25">
      <c r="A21" s="151"/>
      <c r="B21" s="181"/>
      <c r="C21" s="80">
        <f>SUM(C14:C20)</f>
        <v>0</v>
      </c>
      <c r="D21" s="80">
        <f>SUM(D14:D19)</f>
        <v>0</v>
      </c>
      <c r="E21" s="80"/>
      <c r="F21" s="80"/>
      <c r="G21" s="80"/>
      <c r="H21" s="80"/>
      <c r="I21" s="80"/>
      <c r="J21" s="80">
        <f>SUM(J14:J20)</f>
        <v>0</v>
      </c>
      <c r="K21" s="82">
        <f>K20</f>
        <v>0</v>
      </c>
    </row>
    <row r="22" spans="1:11" x14ac:dyDescent="0.25">
      <c r="A22" s="1"/>
      <c r="B22" s="178"/>
      <c r="C22" s="8"/>
      <c r="D22" s="8"/>
      <c r="E22" s="8"/>
      <c r="F22" s="8"/>
      <c r="G22" s="8"/>
      <c r="H22" s="8"/>
      <c r="I22" s="8"/>
      <c r="J22" s="8">
        <f>SUM(C22:I22)</f>
        <v>0</v>
      </c>
      <c r="K22" s="9">
        <f>+K21+J22</f>
        <v>0</v>
      </c>
    </row>
    <row r="23" spans="1:11" x14ac:dyDescent="0.25">
      <c r="A23" s="18"/>
      <c r="B23" s="178"/>
      <c r="C23" s="8"/>
      <c r="D23" s="8"/>
      <c r="E23" s="8"/>
      <c r="F23" s="8"/>
      <c r="G23" s="8"/>
      <c r="H23" s="8"/>
      <c r="I23" s="8"/>
      <c r="J23" s="8">
        <f>SUM(C23:I23)</f>
        <v>0</v>
      </c>
      <c r="K23" s="9">
        <f>+K22+J23</f>
        <v>0</v>
      </c>
    </row>
    <row r="24" spans="1:11" ht="15.75" thickBot="1" x14ac:dyDescent="0.3">
      <c r="A24" s="270"/>
      <c r="B24" s="182"/>
      <c r="C24" s="10"/>
      <c r="D24" s="10"/>
      <c r="E24" s="10"/>
      <c r="F24" s="10"/>
      <c r="G24" s="10"/>
      <c r="H24" s="10"/>
      <c r="I24" s="10"/>
      <c r="J24" s="10">
        <f>SUM(C24:I24)</f>
        <v>0</v>
      </c>
      <c r="K24" s="11">
        <f>+K23+J24</f>
        <v>0</v>
      </c>
    </row>
    <row r="25" spans="1:11" ht="15.75" thickBot="1" x14ac:dyDescent="0.3">
      <c r="A25" s="36" t="s">
        <v>0</v>
      </c>
      <c r="B25" s="15">
        <v>0</v>
      </c>
      <c r="C25" s="15">
        <f>SUM(C21:C24)</f>
        <v>0</v>
      </c>
      <c r="D25" s="15">
        <f t="shared" ref="D25:I25" si="3">SUM(D21:D24)</f>
        <v>0</v>
      </c>
      <c r="E25" s="15">
        <f t="shared" si="3"/>
        <v>0</v>
      </c>
      <c r="F25" s="15">
        <f t="shared" si="3"/>
        <v>0</v>
      </c>
      <c r="G25" s="15">
        <f t="shared" si="3"/>
        <v>0</v>
      </c>
      <c r="H25" s="15">
        <f t="shared" si="3"/>
        <v>0</v>
      </c>
      <c r="I25" s="15">
        <f t="shared" si="3"/>
        <v>0</v>
      </c>
      <c r="J25" s="15"/>
      <c r="K25" s="14">
        <f>SUM(K24)</f>
        <v>0</v>
      </c>
    </row>
    <row r="26" spans="1:11" ht="23.25" customHeight="1" x14ac:dyDescent="0.25">
      <c r="A26" t="s">
        <v>5</v>
      </c>
    </row>
    <row r="28" spans="1:11" x14ac:dyDescent="0.25">
      <c r="A28" t="s">
        <v>9</v>
      </c>
      <c r="E28" t="s">
        <v>12</v>
      </c>
      <c r="I28" t="s">
        <v>14</v>
      </c>
    </row>
    <row r="29" spans="1:11" x14ac:dyDescent="0.25">
      <c r="A29" t="s">
        <v>11</v>
      </c>
    </row>
    <row r="30" spans="1:11" x14ac:dyDescent="0.25">
      <c r="E30" t="s">
        <v>13</v>
      </c>
      <c r="F30" s="13">
        <v>6341</v>
      </c>
      <c r="I30" t="s">
        <v>15</v>
      </c>
    </row>
    <row r="31" spans="1:11" x14ac:dyDescent="0.25">
      <c r="E31" t="s">
        <v>6</v>
      </c>
      <c r="F31" s="13" t="s">
        <v>7</v>
      </c>
    </row>
    <row r="32" spans="1:11" ht="15.75" thickBot="1" x14ac:dyDescent="0.3"/>
    <row r="33" spans="1:11" ht="30.75" thickBot="1" x14ac:dyDescent="0.3">
      <c r="A33" s="75" t="s">
        <v>42</v>
      </c>
      <c r="B33" s="165"/>
      <c r="C33" s="45">
        <v>1</v>
      </c>
      <c r="D33" s="45">
        <v>2</v>
      </c>
      <c r="E33" s="45">
        <v>3</v>
      </c>
      <c r="F33" s="45">
        <v>4</v>
      </c>
      <c r="G33" s="45">
        <v>5</v>
      </c>
      <c r="H33" s="45"/>
      <c r="I33" s="45">
        <v>7</v>
      </c>
      <c r="J33" s="51" t="s">
        <v>16</v>
      </c>
      <c r="K33" s="139" t="s">
        <v>17</v>
      </c>
    </row>
    <row r="34" spans="1:11" x14ac:dyDescent="0.25">
      <c r="A34" s="76" t="s">
        <v>43</v>
      </c>
      <c r="B34" s="166"/>
      <c r="C34" s="35">
        <f>+C25</f>
        <v>0</v>
      </c>
      <c r="D34" s="35">
        <f t="shared" ref="D34:K34" si="4">+D25</f>
        <v>0</v>
      </c>
      <c r="E34" s="35">
        <f t="shared" si="4"/>
        <v>0</v>
      </c>
      <c r="F34" s="35">
        <f t="shared" si="4"/>
        <v>0</v>
      </c>
      <c r="G34" s="35">
        <f t="shared" si="4"/>
        <v>0</v>
      </c>
      <c r="H34" s="35">
        <f t="shared" si="4"/>
        <v>0</v>
      </c>
      <c r="I34" s="35">
        <f t="shared" si="4"/>
        <v>0</v>
      </c>
      <c r="J34" s="35">
        <f t="shared" si="4"/>
        <v>0</v>
      </c>
      <c r="K34" s="35">
        <f t="shared" si="4"/>
        <v>0</v>
      </c>
    </row>
    <row r="35" spans="1:11" x14ac:dyDescent="0.25">
      <c r="A35" s="62"/>
      <c r="B35" s="178"/>
      <c r="C35" s="8"/>
      <c r="D35" s="8"/>
      <c r="E35" s="8"/>
      <c r="F35" s="8"/>
      <c r="G35" s="8"/>
      <c r="H35" s="8"/>
      <c r="I35" s="8"/>
      <c r="J35" s="8">
        <f>SUM(C35:I35)</f>
        <v>0</v>
      </c>
      <c r="K35" s="9">
        <f>+K34+J35</f>
        <v>0</v>
      </c>
    </row>
    <row r="36" spans="1:11" x14ac:dyDescent="0.25">
      <c r="A36" s="62"/>
      <c r="B36" s="178"/>
      <c r="C36" s="8"/>
      <c r="D36" s="8"/>
      <c r="E36" s="8"/>
      <c r="F36" s="163"/>
      <c r="G36" s="16"/>
      <c r="H36" s="8"/>
      <c r="I36" s="8"/>
      <c r="J36" s="8">
        <f>SUM(C36:I36)</f>
        <v>0</v>
      </c>
      <c r="K36" s="9">
        <f>+K35+J36</f>
        <v>0</v>
      </c>
    </row>
    <row r="37" spans="1:11" ht="15.75" thickBot="1" x14ac:dyDescent="0.3">
      <c r="A37" s="2"/>
      <c r="B37" s="253"/>
      <c r="C37" s="3"/>
      <c r="D37" s="3"/>
      <c r="E37" s="3"/>
      <c r="F37" s="3"/>
      <c r="G37" s="3"/>
      <c r="H37" s="3"/>
      <c r="I37" s="3"/>
      <c r="J37" s="3"/>
      <c r="K37" s="225">
        <f>SUM(K36)</f>
        <v>0</v>
      </c>
    </row>
    <row r="38" spans="1:11" ht="15.75" thickBot="1" x14ac:dyDescent="0.3">
      <c r="A38" s="261"/>
      <c r="B38" s="262"/>
      <c r="C38" s="263"/>
      <c r="D38" s="263"/>
      <c r="E38" s="263"/>
      <c r="F38" s="263"/>
      <c r="G38" s="264"/>
      <c r="H38" s="263"/>
      <c r="I38" s="263"/>
      <c r="J38" s="263">
        <f>SUM(C38:I38)</f>
        <v>0</v>
      </c>
      <c r="K38" s="115">
        <f>+K37+J38</f>
        <v>0</v>
      </c>
    </row>
    <row r="39" spans="1:11" x14ac:dyDescent="0.25">
      <c r="A39" s="259"/>
      <c r="B39" s="260"/>
      <c r="C39" s="231">
        <f>SUM(C37:C38)</f>
        <v>0</v>
      </c>
      <c r="D39" s="231">
        <f>SUM(D37:D38)</f>
        <v>0</v>
      </c>
      <c r="E39" s="231"/>
      <c r="F39" s="231">
        <f>SUM(F37:F38)</f>
        <v>0</v>
      </c>
      <c r="G39" s="231"/>
      <c r="H39" s="231"/>
      <c r="I39" s="231"/>
      <c r="J39" s="231"/>
      <c r="K39" s="232">
        <f>SUM(K38)</f>
        <v>0</v>
      </c>
    </row>
    <row r="40" spans="1:11" x14ac:dyDescent="0.25">
      <c r="A40" s="256"/>
      <c r="B40" s="257"/>
      <c r="C40" s="258"/>
      <c r="D40" s="258"/>
      <c r="E40" s="258"/>
      <c r="F40" s="231"/>
      <c r="G40" s="231"/>
      <c r="H40" s="231"/>
      <c r="I40" s="231"/>
      <c r="J40" s="258">
        <f>SUM(C40:I40)</f>
        <v>0</v>
      </c>
      <c r="K40" s="100">
        <f t="shared" ref="K40:K45" si="5">+K39+J40</f>
        <v>0</v>
      </c>
    </row>
    <row r="41" spans="1:11" x14ac:dyDescent="0.25">
      <c r="A41" s="62"/>
      <c r="B41" s="167"/>
      <c r="C41" s="201"/>
      <c r="D41" s="8"/>
      <c r="E41" s="16"/>
      <c r="F41" s="16"/>
      <c r="G41" s="16"/>
      <c r="H41" s="16"/>
      <c r="I41" s="16"/>
      <c r="J41" s="258">
        <f t="shared" ref="J41:J52" si="6">SUM(C41:I41)</f>
        <v>0</v>
      </c>
      <c r="K41" s="100">
        <f t="shared" si="5"/>
        <v>0</v>
      </c>
    </row>
    <row r="42" spans="1:11" x14ac:dyDescent="0.25">
      <c r="A42" s="62"/>
      <c r="B42" s="167"/>
      <c r="C42" s="8"/>
      <c r="D42" s="8"/>
      <c r="E42" s="16"/>
      <c r="F42" s="16"/>
      <c r="G42" s="16"/>
      <c r="H42" s="16"/>
      <c r="I42" s="16"/>
      <c r="J42" s="258">
        <f t="shared" si="6"/>
        <v>0</v>
      </c>
      <c r="K42" s="100">
        <f t="shared" si="5"/>
        <v>0</v>
      </c>
    </row>
    <row r="43" spans="1:11" ht="15.75" thickBot="1" x14ac:dyDescent="0.3">
      <c r="A43" s="269"/>
      <c r="B43" s="192"/>
      <c r="C43" s="10"/>
      <c r="D43" s="10"/>
      <c r="E43" s="3"/>
      <c r="F43" s="3"/>
      <c r="G43" s="10"/>
      <c r="H43" s="3"/>
      <c r="I43" s="3"/>
      <c r="J43" s="214">
        <f t="shared" si="6"/>
        <v>0</v>
      </c>
      <c r="K43" s="11">
        <f t="shared" si="5"/>
        <v>0</v>
      </c>
    </row>
    <row r="44" spans="1:11" x14ac:dyDescent="0.25">
      <c r="A44" s="265"/>
      <c r="B44" s="190"/>
      <c r="C44" s="80">
        <f>SUM(C39:C43)</f>
        <v>0</v>
      </c>
      <c r="D44" s="80">
        <f t="shared" ref="D44:I44" si="7">SUM(D39:D43)</f>
        <v>0</v>
      </c>
      <c r="E44" s="80">
        <f t="shared" si="7"/>
        <v>0</v>
      </c>
      <c r="F44" s="80">
        <f t="shared" si="7"/>
        <v>0</v>
      </c>
      <c r="G44" s="80">
        <f t="shared" si="7"/>
        <v>0</v>
      </c>
      <c r="H44" s="80">
        <f t="shared" si="7"/>
        <v>0</v>
      </c>
      <c r="I44" s="80">
        <f t="shared" si="7"/>
        <v>0</v>
      </c>
      <c r="J44" s="231"/>
      <c r="K44" s="82">
        <f t="shared" si="5"/>
        <v>0</v>
      </c>
    </row>
    <row r="45" spans="1:11" x14ac:dyDescent="0.25">
      <c r="A45" s="62"/>
      <c r="B45" s="167"/>
      <c r="C45" s="8"/>
      <c r="D45" s="8"/>
      <c r="E45" s="16"/>
      <c r="F45" s="8"/>
      <c r="G45" s="8"/>
      <c r="H45" s="8"/>
      <c r="I45" s="8"/>
      <c r="J45" s="258">
        <f t="shared" si="6"/>
        <v>0</v>
      </c>
      <c r="K45" s="100">
        <f t="shared" si="5"/>
        <v>0</v>
      </c>
    </row>
    <row r="46" spans="1:11" x14ac:dyDescent="0.25">
      <c r="A46" s="62"/>
      <c r="B46" s="167"/>
      <c r="C46" s="8"/>
      <c r="D46" s="8"/>
      <c r="E46" s="16"/>
      <c r="F46" s="8"/>
      <c r="G46" s="8"/>
      <c r="H46" s="8"/>
      <c r="I46" s="8"/>
      <c r="J46" s="258">
        <f t="shared" si="6"/>
        <v>0</v>
      </c>
      <c r="K46" s="100">
        <f t="shared" ref="K46:K52" si="8">+K45+J46</f>
        <v>0</v>
      </c>
    </row>
    <row r="47" spans="1:11" x14ac:dyDescent="0.25">
      <c r="A47" s="61"/>
      <c r="B47" s="168"/>
      <c r="C47" s="8"/>
      <c r="D47" s="8"/>
      <c r="E47" s="8"/>
      <c r="F47" s="8"/>
      <c r="G47" s="80"/>
      <c r="H47" s="81"/>
      <c r="I47" s="8"/>
      <c r="J47" s="258">
        <f t="shared" si="6"/>
        <v>0</v>
      </c>
      <c r="K47" s="100">
        <f t="shared" si="8"/>
        <v>0</v>
      </c>
    </row>
    <row r="48" spans="1:11" x14ac:dyDescent="0.25">
      <c r="A48" s="226"/>
      <c r="B48" s="255"/>
      <c r="C48" s="78"/>
      <c r="D48" s="78"/>
      <c r="E48" s="124"/>
      <c r="F48" s="124"/>
      <c r="G48" s="81"/>
      <c r="H48" s="124"/>
      <c r="I48" s="124"/>
      <c r="J48" s="258">
        <f t="shared" si="6"/>
        <v>0</v>
      </c>
      <c r="K48" s="100">
        <f t="shared" si="8"/>
        <v>0</v>
      </c>
    </row>
    <row r="49" spans="1:11" x14ac:dyDescent="0.25">
      <c r="A49" s="62"/>
      <c r="B49" s="167"/>
      <c r="C49" s="8"/>
      <c r="D49" s="8"/>
      <c r="E49" s="8"/>
      <c r="F49" s="8"/>
      <c r="G49" s="16"/>
      <c r="H49" s="8"/>
      <c r="I49" s="8"/>
      <c r="J49" s="258">
        <f t="shared" si="6"/>
        <v>0</v>
      </c>
      <c r="K49" s="100">
        <f t="shared" si="8"/>
        <v>0</v>
      </c>
    </row>
    <row r="50" spans="1:11" x14ac:dyDescent="0.25">
      <c r="A50" s="62"/>
      <c r="B50" s="167"/>
      <c r="C50" s="8"/>
      <c r="D50" s="8"/>
      <c r="E50" s="8"/>
      <c r="F50" s="16"/>
      <c r="G50" s="16"/>
      <c r="H50" s="16"/>
      <c r="I50" s="16"/>
      <c r="J50" s="8">
        <f t="shared" si="6"/>
        <v>0</v>
      </c>
      <c r="K50" s="100">
        <f t="shared" si="8"/>
        <v>0</v>
      </c>
    </row>
    <row r="51" spans="1:11" x14ac:dyDescent="0.25">
      <c r="A51" s="62"/>
      <c r="B51" s="200"/>
      <c r="C51" s="8"/>
      <c r="D51" s="8"/>
      <c r="E51" s="16"/>
      <c r="F51" s="8"/>
      <c r="G51" s="8"/>
      <c r="H51" s="16"/>
      <c r="I51" s="16"/>
      <c r="J51" s="8">
        <f t="shared" si="6"/>
        <v>0</v>
      </c>
      <c r="K51" s="100">
        <f t="shared" si="8"/>
        <v>0</v>
      </c>
    </row>
    <row r="52" spans="1:11" ht="15.75" thickBot="1" x14ac:dyDescent="0.3">
      <c r="A52" s="138"/>
      <c r="B52" s="189"/>
      <c r="C52" s="10"/>
      <c r="D52" s="10"/>
      <c r="E52" s="10"/>
      <c r="F52" s="10"/>
      <c r="G52" s="10"/>
      <c r="H52" s="10"/>
      <c r="I52" s="10"/>
      <c r="J52" s="10">
        <f t="shared" si="6"/>
        <v>0</v>
      </c>
      <c r="K52" s="11">
        <f t="shared" si="8"/>
        <v>0</v>
      </c>
    </row>
    <row r="53" spans="1:11" x14ac:dyDescent="0.25">
      <c r="A53" s="288"/>
      <c r="B53" s="224"/>
      <c r="C53" s="80">
        <f>SUM(C44:C52)</f>
        <v>0</v>
      </c>
      <c r="D53" s="80">
        <f t="shared" ref="D53:I53" si="9">SUM(D44:D52)</f>
        <v>0</v>
      </c>
      <c r="E53" s="80">
        <f t="shared" si="9"/>
        <v>0</v>
      </c>
      <c r="F53" s="80">
        <f t="shared" si="9"/>
        <v>0</v>
      </c>
      <c r="G53" s="80">
        <f t="shared" si="9"/>
        <v>0</v>
      </c>
      <c r="H53" s="80">
        <f t="shared" si="9"/>
        <v>0</v>
      </c>
      <c r="I53" s="80">
        <f t="shared" si="9"/>
        <v>0</v>
      </c>
      <c r="J53" s="80">
        <f>SUM(J45:J52)</f>
        <v>0</v>
      </c>
      <c r="K53" s="82">
        <f>SUM(K52)</f>
        <v>0</v>
      </c>
    </row>
    <row r="54" spans="1:11" x14ac:dyDescent="0.25">
      <c r="A54" s="145"/>
      <c r="B54" s="190"/>
      <c r="C54" s="81"/>
      <c r="D54" s="81"/>
      <c r="E54" s="80"/>
      <c r="F54" s="81"/>
      <c r="G54" s="8"/>
      <c r="H54" s="80"/>
      <c r="I54" s="80"/>
      <c r="J54" s="81">
        <f>SUM(C54:I54)</f>
        <v>0</v>
      </c>
      <c r="K54" s="9">
        <f>+K53+J54</f>
        <v>0</v>
      </c>
    </row>
    <row r="55" spans="1:11" x14ac:dyDescent="0.25">
      <c r="A55" s="61"/>
      <c r="B55" s="168"/>
      <c r="C55" s="8"/>
      <c r="D55" s="8"/>
      <c r="E55" s="8"/>
      <c r="F55" s="16"/>
      <c r="G55" s="64"/>
      <c r="H55" s="8"/>
      <c r="I55" s="8"/>
      <c r="J55" s="8">
        <f>SUM(C55:I55)</f>
        <v>0</v>
      </c>
      <c r="K55" s="9">
        <f>+K54+J55</f>
        <v>0</v>
      </c>
    </row>
    <row r="56" spans="1:11" ht="15.75" thickBot="1" x14ac:dyDescent="0.3">
      <c r="A56" s="73"/>
      <c r="B56" s="192"/>
      <c r="C56" s="10"/>
      <c r="D56" s="10"/>
      <c r="E56" s="3"/>
      <c r="F56" s="3"/>
      <c r="G56" s="3"/>
      <c r="H56" s="3"/>
      <c r="I56" s="3"/>
      <c r="J56" s="10">
        <f>SUM(C56:I56)</f>
        <v>0</v>
      </c>
      <c r="K56" s="9">
        <f>+K55+J56</f>
        <v>0</v>
      </c>
    </row>
    <row r="57" spans="1:11" ht="15.75" thickBot="1" x14ac:dyDescent="0.3">
      <c r="A57" s="36" t="s">
        <v>61</v>
      </c>
      <c r="B57" s="193"/>
      <c r="C57" s="15">
        <f>SUM(C53:C56)</f>
        <v>0</v>
      </c>
      <c r="D57" s="15">
        <f t="shared" ref="D57:I57" si="10">SUM(D53:D56)</f>
        <v>0</v>
      </c>
      <c r="E57" s="15">
        <f t="shared" si="10"/>
        <v>0</v>
      </c>
      <c r="F57" s="15">
        <f t="shared" si="10"/>
        <v>0</v>
      </c>
      <c r="G57" s="15">
        <f t="shared" si="10"/>
        <v>0</v>
      </c>
      <c r="H57" s="15">
        <f t="shared" si="10"/>
        <v>0</v>
      </c>
      <c r="I57" s="15">
        <f t="shared" si="10"/>
        <v>0</v>
      </c>
      <c r="J57" s="15">
        <f>SUM(J54:J56)</f>
        <v>0</v>
      </c>
      <c r="K57" s="14">
        <f>SUM(K56)</f>
        <v>0</v>
      </c>
    </row>
    <row r="58" spans="1:11" x14ac:dyDescent="0.25">
      <c r="A58" t="s">
        <v>5</v>
      </c>
    </row>
    <row r="59" spans="1:11" x14ac:dyDescent="0.25">
      <c r="A59" t="s">
        <v>9</v>
      </c>
      <c r="E59" t="s">
        <v>50</v>
      </c>
      <c r="I59" t="s">
        <v>45</v>
      </c>
    </row>
    <row r="60" spans="1:11" x14ac:dyDescent="0.25">
      <c r="A60" t="s">
        <v>44</v>
      </c>
    </row>
    <row r="61" spans="1:11" x14ac:dyDescent="0.25">
      <c r="E61" t="s">
        <v>13</v>
      </c>
      <c r="F61" s="13">
        <v>6341</v>
      </c>
      <c r="I61" t="s">
        <v>15</v>
      </c>
    </row>
    <row r="62" spans="1:11" x14ac:dyDescent="0.25">
      <c r="E62" t="s">
        <v>6</v>
      </c>
      <c r="F62" s="13" t="s">
        <v>7</v>
      </c>
    </row>
    <row r="63" spans="1:11" ht="15.75" thickBot="1" x14ac:dyDescent="0.3"/>
    <row r="64" spans="1:11" ht="30.75" thickBot="1" x14ac:dyDescent="0.3">
      <c r="A64" s="75" t="s">
        <v>42</v>
      </c>
      <c r="B64" s="165"/>
      <c r="C64" s="45">
        <v>1</v>
      </c>
      <c r="D64" s="45">
        <v>2</v>
      </c>
      <c r="E64" s="45">
        <v>3</v>
      </c>
      <c r="F64" s="45">
        <v>4</v>
      </c>
      <c r="G64" s="45">
        <v>5</v>
      </c>
      <c r="H64" s="45"/>
      <c r="I64" s="45">
        <v>7</v>
      </c>
      <c r="J64" s="51" t="s">
        <v>16</v>
      </c>
      <c r="K64" s="139" t="s">
        <v>17</v>
      </c>
    </row>
    <row r="65" spans="1:11" x14ac:dyDescent="0.25">
      <c r="A65" s="76" t="s">
        <v>43</v>
      </c>
      <c r="B65" s="166"/>
      <c r="C65" s="35">
        <f t="shared" ref="C65:K65" si="11">+C57</f>
        <v>0</v>
      </c>
      <c r="D65" s="35">
        <f t="shared" si="11"/>
        <v>0</v>
      </c>
      <c r="E65" s="35">
        <f t="shared" si="11"/>
        <v>0</v>
      </c>
      <c r="F65" s="35">
        <f t="shared" si="11"/>
        <v>0</v>
      </c>
      <c r="G65" s="35">
        <f t="shared" si="11"/>
        <v>0</v>
      </c>
      <c r="H65" s="35">
        <f t="shared" si="11"/>
        <v>0</v>
      </c>
      <c r="I65" s="35">
        <f t="shared" si="11"/>
        <v>0</v>
      </c>
      <c r="J65" s="35">
        <f t="shared" si="11"/>
        <v>0</v>
      </c>
      <c r="K65" s="35">
        <f t="shared" si="11"/>
        <v>0</v>
      </c>
    </row>
    <row r="66" spans="1:11" ht="15.75" thickBot="1" x14ac:dyDescent="0.3">
      <c r="A66" s="73"/>
      <c r="B66" s="182"/>
      <c r="C66" s="10"/>
      <c r="D66" s="10"/>
      <c r="E66" s="10"/>
      <c r="F66" s="10"/>
      <c r="G66" s="10"/>
      <c r="H66" s="10"/>
      <c r="I66" s="10"/>
      <c r="J66" s="10">
        <f>SUM(C66:I66)</f>
        <v>0</v>
      </c>
      <c r="K66" s="11">
        <f>K65+J66</f>
        <v>0</v>
      </c>
    </row>
    <row r="67" spans="1:11" x14ac:dyDescent="0.25">
      <c r="A67" s="79"/>
      <c r="B67" s="181"/>
      <c r="C67" s="80">
        <f>SUM(C65:C66)</f>
        <v>0</v>
      </c>
      <c r="D67" s="80">
        <f t="shared" ref="D67:I67" si="12">SUM(D65:D66)</f>
        <v>0</v>
      </c>
      <c r="E67" s="80">
        <f t="shared" si="12"/>
        <v>0</v>
      </c>
      <c r="F67" s="80">
        <f t="shared" si="12"/>
        <v>0</v>
      </c>
      <c r="G67" s="80">
        <f t="shared" si="12"/>
        <v>0</v>
      </c>
      <c r="H67" s="80">
        <f t="shared" si="12"/>
        <v>0</v>
      </c>
      <c r="I67" s="80">
        <f t="shared" si="12"/>
        <v>0</v>
      </c>
      <c r="J67" s="80">
        <f>SUM(J66)</f>
        <v>0</v>
      </c>
      <c r="K67" s="82">
        <f>SUM(K66)</f>
        <v>0</v>
      </c>
    </row>
    <row r="68" spans="1:11" x14ac:dyDescent="0.25">
      <c r="A68" s="18"/>
      <c r="B68" s="322"/>
      <c r="C68" s="8"/>
      <c r="D68" s="8"/>
      <c r="E68" s="8"/>
      <c r="F68" s="8"/>
      <c r="G68" s="8"/>
      <c r="H68" s="8"/>
      <c r="I68" s="8"/>
      <c r="J68" s="8">
        <f>SUM(C68:I68)</f>
        <v>0</v>
      </c>
      <c r="K68" s="9">
        <f>K67+J68</f>
        <v>0</v>
      </c>
    </row>
    <row r="69" spans="1:11" x14ac:dyDescent="0.25">
      <c r="A69" s="18"/>
      <c r="B69" s="278"/>
      <c r="C69" s="217"/>
      <c r="D69" s="176"/>
      <c r="E69" s="176"/>
      <c r="F69" s="176"/>
      <c r="G69" s="185"/>
      <c r="H69" s="176"/>
      <c r="I69" s="176"/>
      <c r="J69" s="8">
        <f>SUM(C69:I69)</f>
        <v>0</v>
      </c>
      <c r="K69" s="9">
        <f>K68+J69</f>
        <v>0</v>
      </c>
    </row>
    <row r="70" spans="1:11" x14ac:dyDescent="0.25">
      <c r="A70" s="314"/>
      <c r="B70" s="315"/>
      <c r="C70" s="258"/>
      <c r="D70" s="258"/>
      <c r="E70" s="231"/>
      <c r="F70" s="231"/>
      <c r="G70" s="231"/>
      <c r="H70" s="231"/>
      <c r="I70" s="231"/>
      <c r="J70" s="8">
        <f>SUM(C70:I70)</f>
        <v>0</v>
      </c>
      <c r="K70" s="9">
        <f>K69+J70</f>
        <v>0</v>
      </c>
    </row>
    <row r="71" spans="1:11" ht="15.75" thickBot="1" x14ac:dyDescent="0.3">
      <c r="A71" s="213"/>
      <c r="B71" s="299"/>
      <c r="C71" s="214"/>
      <c r="D71" s="214"/>
      <c r="E71" s="214"/>
      <c r="F71" s="248"/>
      <c r="G71" s="248"/>
      <c r="H71" s="248"/>
      <c r="I71" s="248"/>
      <c r="J71" s="10">
        <f>SUM(C71:I71)</f>
        <v>0</v>
      </c>
      <c r="K71" s="11">
        <f>K70+J71</f>
        <v>0</v>
      </c>
    </row>
    <row r="72" spans="1:11" x14ac:dyDescent="0.25">
      <c r="A72" s="79"/>
      <c r="B72" s="190"/>
      <c r="C72" s="324">
        <f>SUM(C67:C71)</f>
        <v>0</v>
      </c>
      <c r="D72" s="324">
        <f t="shared" ref="D72:I72" si="13">SUM(D67:D71)</f>
        <v>0</v>
      </c>
      <c r="E72" s="324">
        <f t="shared" si="13"/>
        <v>0</v>
      </c>
      <c r="F72" s="324">
        <f t="shared" si="13"/>
        <v>0</v>
      </c>
      <c r="G72" s="324">
        <f t="shared" si="13"/>
        <v>0</v>
      </c>
      <c r="H72" s="324">
        <f t="shared" si="13"/>
        <v>0</v>
      </c>
      <c r="I72" s="324">
        <f t="shared" si="13"/>
        <v>0</v>
      </c>
      <c r="J72" s="231">
        <f>SUM(J68:J71)</f>
        <v>0</v>
      </c>
      <c r="K72" s="82">
        <f>SUM(K71)</f>
        <v>0</v>
      </c>
    </row>
    <row r="73" spans="1:11" x14ac:dyDescent="0.25">
      <c r="A73" s="62"/>
      <c r="B73" s="167"/>
      <c r="C73" s="8"/>
      <c r="D73" s="8"/>
      <c r="E73" s="16"/>
      <c r="F73" s="8"/>
      <c r="G73" s="16"/>
      <c r="H73" s="16"/>
      <c r="I73" s="16"/>
      <c r="J73" s="258">
        <f>SUM(C73:I73)</f>
        <v>0</v>
      </c>
      <c r="K73" s="100">
        <f>+K72+J73</f>
        <v>0</v>
      </c>
    </row>
    <row r="74" spans="1:11" x14ac:dyDescent="0.25">
      <c r="A74" s="323"/>
      <c r="B74" s="167"/>
      <c r="C74" s="8"/>
      <c r="D74" s="8"/>
      <c r="E74" s="16"/>
      <c r="F74" s="16"/>
      <c r="G74" s="8"/>
      <c r="H74" s="16"/>
      <c r="I74" s="16"/>
      <c r="J74" s="258">
        <f>SUM(C74:I74)</f>
        <v>0</v>
      </c>
      <c r="K74" s="100">
        <f>+K73+J74</f>
        <v>0</v>
      </c>
    </row>
    <row r="75" spans="1:11" x14ac:dyDescent="0.25">
      <c r="A75" s="323"/>
      <c r="B75" s="200"/>
      <c r="C75" s="8"/>
      <c r="D75" s="8"/>
      <c r="E75" s="16"/>
      <c r="F75" s="16"/>
      <c r="G75" s="8"/>
      <c r="H75" s="16"/>
      <c r="I75" s="16"/>
      <c r="J75" s="258">
        <f>SUM(C75:I75)</f>
        <v>0</v>
      </c>
      <c r="K75" s="100">
        <f>+K74+J75</f>
        <v>0</v>
      </c>
    </row>
    <row r="76" spans="1:11" x14ac:dyDescent="0.25">
      <c r="A76" s="323"/>
      <c r="B76" s="200"/>
      <c r="C76" s="8"/>
      <c r="D76" s="8"/>
      <c r="E76" s="16"/>
      <c r="F76" s="16"/>
      <c r="G76" s="8"/>
      <c r="H76" s="16"/>
      <c r="I76" s="16"/>
      <c r="J76" s="258">
        <f>SUM(C76:I76)</f>
        <v>0</v>
      </c>
      <c r="K76" s="100">
        <f>+K75+J76</f>
        <v>0</v>
      </c>
    </row>
    <row r="77" spans="1:11" ht="15.75" thickBot="1" x14ac:dyDescent="0.3">
      <c r="A77" s="348"/>
      <c r="B77" s="346"/>
      <c r="C77" s="70"/>
      <c r="D77" s="64"/>
      <c r="E77" s="70"/>
      <c r="F77" s="70"/>
      <c r="G77" s="70"/>
      <c r="H77" s="70"/>
      <c r="I77" s="70"/>
      <c r="J77" s="258">
        <f>SUM(C77:I77)</f>
        <v>0</v>
      </c>
      <c r="K77" s="100">
        <f>+K76+J77</f>
        <v>0</v>
      </c>
    </row>
    <row r="78" spans="1:11" ht="15.75" thickBot="1" x14ac:dyDescent="0.3">
      <c r="A78" s="319"/>
      <c r="B78" s="352"/>
      <c r="C78" s="83">
        <f t="shared" ref="C78:I78" si="14">SUM(C72:C77)</f>
        <v>0</v>
      </c>
      <c r="D78" s="83">
        <f t="shared" si="14"/>
        <v>0</v>
      </c>
      <c r="E78" s="83">
        <f t="shared" si="14"/>
        <v>0</v>
      </c>
      <c r="F78" s="83">
        <f t="shared" si="14"/>
        <v>0</v>
      </c>
      <c r="G78" s="83">
        <f t="shared" si="14"/>
        <v>0</v>
      </c>
      <c r="H78" s="83">
        <f t="shared" si="14"/>
        <v>0</v>
      </c>
      <c r="I78" s="83">
        <f t="shared" si="14"/>
        <v>0</v>
      </c>
      <c r="J78" s="354">
        <f>SUM(J73:J77)</f>
        <v>0</v>
      </c>
      <c r="K78" s="149">
        <f>SUM(K77)</f>
        <v>0</v>
      </c>
    </row>
    <row r="79" spans="1:11" x14ac:dyDescent="0.25">
      <c r="A79" s="145"/>
      <c r="B79" s="191"/>
      <c r="C79" s="81"/>
      <c r="D79" s="81"/>
      <c r="E79" s="80"/>
      <c r="F79" s="81"/>
      <c r="G79" s="81"/>
      <c r="H79" s="81"/>
      <c r="I79" s="81"/>
      <c r="J79" s="258">
        <f t="shared" ref="J79:J86" si="15">SUM(C79:I79)</f>
        <v>0</v>
      </c>
      <c r="K79" s="100">
        <f t="shared" ref="K79:K86" si="16">+K78+J79</f>
        <v>0</v>
      </c>
    </row>
    <row r="80" spans="1:11" x14ac:dyDescent="0.25">
      <c r="A80" s="61"/>
      <c r="B80" s="168"/>
      <c r="C80" s="8"/>
      <c r="D80" s="8"/>
      <c r="E80" s="8"/>
      <c r="F80" s="8"/>
      <c r="G80" s="80"/>
      <c r="H80" s="81"/>
      <c r="I80" s="8"/>
      <c r="J80" s="258">
        <f t="shared" si="15"/>
        <v>0</v>
      </c>
      <c r="K80" s="100">
        <f t="shared" si="16"/>
        <v>0</v>
      </c>
    </row>
    <row r="81" spans="1:11" x14ac:dyDescent="0.25">
      <c r="A81" s="62"/>
      <c r="B81" s="167"/>
      <c r="C81" s="8"/>
      <c r="D81" s="8"/>
      <c r="E81" s="8"/>
      <c r="F81" s="16"/>
      <c r="G81" s="16"/>
      <c r="H81" s="16"/>
      <c r="I81" s="16"/>
      <c r="J81" s="8">
        <f t="shared" si="15"/>
        <v>0</v>
      </c>
      <c r="K81" s="100">
        <f t="shared" si="16"/>
        <v>0</v>
      </c>
    </row>
    <row r="82" spans="1:11" x14ac:dyDescent="0.25">
      <c r="A82" s="69"/>
      <c r="B82" s="348"/>
      <c r="C82" s="64"/>
      <c r="D82" s="64"/>
      <c r="E82" s="70"/>
      <c r="F82" s="64"/>
      <c r="G82" s="64"/>
      <c r="H82" s="70"/>
      <c r="I82" s="70"/>
      <c r="J82" s="8">
        <f t="shared" si="15"/>
        <v>0</v>
      </c>
      <c r="K82" s="100">
        <f t="shared" si="16"/>
        <v>0</v>
      </c>
    </row>
    <row r="83" spans="1:11" x14ac:dyDescent="0.25">
      <c r="A83" s="226"/>
      <c r="B83" s="255"/>
      <c r="C83" s="78"/>
      <c r="D83" s="78"/>
      <c r="E83" s="124"/>
      <c r="F83" s="78"/>
      <c r="G83" s="78"/>
      <c r="H83" s="124"/>
      <c r="I83" s="124"/>
      <c r="J83" s="8">
        <f t="shared" si="15"/>
        <v>0</v>
      </c>
      <c r="K83" s="100">
        <f t="shared" si="16"/>
        <v>0</v>
      </c>
    </row>
    <row r="84" spans="1:11" x14ac:dyDescent="0.25">
      <c r="A84" s="226"/>
      <c r="B84" s="255"/>
      <c r="C84" s="78"/>
      <c r="D84" s="78"/>
      <c r="E84" s="124"/>
      <c r="F84" s="78"/>
      <c r="G84" s="78"/>
      <c r="H84" s="124"/>
      <c r="I84" s="124"/>
      <c r="J84" s="8">
        <f t="shared" si="15"/>
        <v>0</v>
      </c>
      <c r="K84" s="100">
        <f t="shared" si="16"/>
        <v>0</v>
      </c>
    </row>
    <row r="85" spans="1:11" x14ac:dyDescent="0.25">
      <c r="A85" s="226"/>
      <c r="B85" s="255"/>
      <c r="C85" s="78"/>
      <c r="D85" s="78"/>
      <c r="E85" s="124"/>
      <c r="F85" s="78"/>
      <c r="G85" s="78"/>
      <c r="H85" s="124"/>
      <c r="I85" s="124"/>
      <c r="J85" s="78">
        <f t="shared" si="15"/>
        <v>0</v>
      </c>
      <c r="K85" s="100">
        <f t="shared" si="16"/>
        <v>0</v>
      </c>
    </row>
    <row r="86" spans="1:11" ht="15.75" thickBot="1" x14ac:dyDescent="0.3">
      <c r="A86" s="370"/>
      <c r="B86" s="371"/>
      <c r="C86" s="116"/>
      <c r="D86" s="116"/>
      <c r="E86" s="15"/>
      <c r="F86" s="15"/>
      <c r="G86" s="15"/>
      <c r="H86" s="15"/>
      <c r="I86" s="15"/>
      <c r="J86" s="78">
        <f t="shared" si="15"/>
        <v>0</v>
      </c>
      <c r="K86" s="100">
        <f t="shared" si="16"/>
        <v>0</v>
      </c>
    </row>
    <row r="87" spans="1:11" ht="15.75" thickBot="1" x14ac:dyDescent="0.3">
      <c r="A87" s="36" t="s">
        <v>61</v>
      </c>
      <c r="B87" s="193"/>
      <c r="C87" s="15">
        <f t="shared" ref="C87:I87" si="17">SUM(C78:C86)</f>
        <v>0</v>
      </c>
      <c r="D87" s="15">
        <f t="shared" si="17"/>
        <v>0</v>
      </c>
      <c r="E87" s="15">
        <f t="shared" si="17"/>
        <v>0</v>
      </c>
      <c r="F87" s="347">
        <f t="shared" si="17"/>
        <v>0</v>
      </c>
      <c r="G87" s="15">
        <f t="shared" si="17"/>
        <v>0</v>
      </c>
      <c r="H87" s="15">
        <f t="shared" si="17"/>
        <v>0</v>
      </c>
      <c r="I87" s="15">
        <f t="shared" si="17"/>
        <v>0</v>
      </c>
      <c r="J87" s="15">
        <f>SUM(J79:J86)</f>
        <v>0</v>
      </c>
      <c r="K87" s="14">
        <f>SUM(K86)</f>
        <v>0</v>
      </c>
    </row>
    <row r="88" spans="1:11" x14ac:dyDescent="0.25">
      <c r="A88" t="s">
        <v>5</v>
      </c>
    </row>
    <row r="90" spans="1:11" x14ac:dyDescent="0.25">
      <c r="A90" s="98" t="s">
        <v>67</v>
      </c>
      <c r="B90" s="98"/>
      <c r="C90" s="327">
        <f t="shared" ref="C90:I90" si="18">C7-C87</f>
        <v>0</v>
      </c>
      <c r="D90" s="327">
        <f t="shared" si="18"/>
        <v>0</v>
      </c>
      <c r="E90" s="327">
        <f t="shared" si="18"/>
        <v>0</v>
      </c>
      <c r="F90" s="327">
        <f t="shared" si="18"/>
        <v>0</v>
      </c>
      <c r="G90" s="327">
        <f t="shared" si="18"/>
        <v>0</v>
      </c>
      <c r="H90" s="327">
        <f t="shared" si="18"/>
        <v>0</v>
      </c>
      <c r="I90" s="327">
        <f t="shared" si="18"/>
        <v>0</v>
      </c>
      <c r="J90" s="327"/>
      <c r="K90" s="327">
        <f>+K7-K78</f>
        <v>0</v>
      </c>
    </row>
    <row r="91" spans="1:11" x14ac:dyDescent="0.25">
      <c r="A91" t="s">
        <v>9</v>
      </c>
      <c r="E91" t="s">
        <v>50</v>
      </c>
      <c r="I91" t="s">
        <v>45</v>
      </c>
    </row>
    <row r="92" spans="1:11" x14ac:dyDescent="0.25">
      <c r="A92" t="s">
        <v>44</v>
      </c>
    </row>
    <row r="93" spans="1:11" x14ac:dyDescent="0.25">
      <c r="E93" t="s">
        <v>13</v>
      </c>
      <c r="F93" s="13">
        <v>6341</v>
      </c>
      <c r="I93" t="s">
        <v>15</v>
      </c>
    </row>
    <row r="94" spans="1:11" x14ac:dyDescent="0.25">
      <c r="E94" t="s">
        <v>6</v>
      </c>
      <c r="F94" s="13" t="s">
        <v>7</v>
      </c>
    </row>
    <row r="95" spans="1:11" ht="15.75" thickBot="1" x14ac:dyDescent="0.3"/>
    <row r="96" spans="1:11" ht="30.75" thickBot="1" x14ac:dyDescent="0.3">
      <c r="A96" s="75" t="s">
        <v>42</v>
      </c>
      <c r="B96" s="165"/>
      <c r="C96" s="45">
        <v>1</v>
      </c>
      <c r="D96" s="45">
        <v>2</v>
      </c>
      <c r="E96" s="45">
        <v>3</v>
      </c>
      <c r="F96" s="45">
        <v>4</v>
      </c>
      <c r="G96" s="45">
        <v>5</v>
      </c>
      <c r="H96" s="45"/>
      <c r="I96" s="45">
        <v>7</v>
      </c>
      <c r="J96" s="51" t="s">
        <v>16</v>
      </c>
      <c r="K96" s="139" t="s">
        <v>17</v>
      </c>
    </row>
    <row r="97" spans="1:11" x14ac:dyDescent="0.25">
      <c r="A97" s="76" t="s">
        <v>43</v>
      </c>
      <c r="B97" s="166"/>
      <c r="C97" s="35">
        <f>C87</f>
        <v>0</v>
      </c>
      <c r="D97" s="35">
        <f t="shared" ref="D97:K97" si="19">D87</f>
        <v>0</v>
      </c>
      <c r="E97" s="35">
        <f t="shared" si="19"/>
        <v>0</v>
      </c>
      <c r="F97" s="35">
        <f t="shared" si="19"/>
        <v>0</v>
      </c>
      <c r="G97" s="35">
        <f t="shared" si="19"/>
        <v>0</v>
      </c>
      <c r="H97" s="35">
        <f t="shared" si="19"/>
        <v>0</v>
      </c>
      <c r="I97" s="35">
        <f t="shared" si="19"/>
        <v>0</v>
      </c>
      <c r="J97" s="35">
        <f t="shared" si="19"/>
        <v>0</v>
      </c>
      <c r="K97" s="35">
        <f t="shared" si="19"/>
        <v>0</v>
      </c>
    </row>
    <row r="98" spans="1:11" x14ac:dyDescent="0.25">
      <c r="A98" s="145"/>
      <c r="B98" s="243"/>
      <c r="C98" s="81"/>
      <c r="D98" s="81"/>
      <c r="E98" s="81"/>
      <c r="F98" s="81"/>
      <c r="G98" s="81"/>
      <c r="H98" s="81"/>
      <c r="I98" s="81"/>
      <c r="J98" s="81">
        <f>SUM(C98:I98)</f>
        <v>0</v>
      </c>
      <c r="K98" s="100">
        <f>K97+J98</f>
        <v>0</v>
      </c>
    </row>
    <row r="99" spans="1:11" x14ac:dyDescent="0.25">
      <c r="A99" s="18"/>
      <c r="B99" s="322"/>
      <c r="C99" s="8"/>
      <c r="D99" s="8"/>
      <c r="E99" s="8"/>
      <c r="F99" s="8"/>
      <c r="G99" s="8"/>
      <c r="H99" s="8"/>
      <c r="I99" s="8"/>
      <c r="J99" s="8">
        <f>SUM(C99:I99)</f>
        <v>0</v>
      </c>
      <c r="K99" s="9">
        <f>K98+J99</f>
        <v>0</v>
      </c>
    </row>
    <row r="100" spans="1:11" x14ac:dyDescent="0.25">
      <c r="A100" s="18"/>
      <c r="B100" s="278"/>
      <c r="C100" s="217"/>
      <c r="D100" s="176"/>
      <c r="E100" s="176"/>
      <c r="F100" s="176"/>
      <c r="G100" s="185"/>
      <c r="H100" s="176"/>
      <c r="I100" s="176"/>
      <c r="J100" s="8">
        <f>SUM(C100:I100)</f>
        <v>0</v>
      </c>
      <c r="K100" s="9">
        <f>K99+J100</f>
        <v>0</v>
      </c>
    </row>
    <row r="101" spans="1:11" ht="15.75" thickBot="1" x14ac:dyDescent="0.3">
      <c r="A101" s="384"/>
      <c r="B101" s="385"/>
      <c r="C101" s="386"/>
      <c r="D101" s="386"/>
      <c r="E101" s="266"/>
      <c r="F101" s="266"/>
      <c r="G101" s="266"/>
      <c r="H101" s="266"/>
      <c r="I101" s="266"/>
      <c r="J101" s="64">
        <f>SUM(C101:I101)</f>
        <v>0</v>
      </c>
      <c r="K101" s="65">
        <f>K100+J101</f>
        <v>0</v>
      </c>
    </row>
    <row r="102" spans="1:11" ht="15.75" thickBot="1" x14ac:dyDescent="0.3">
      <c r="A102" s="360" t="s">
        <v>74</v>
      </c>
      <c r="B102" s="363"/>
      <c r="C102" s="354">
        <f>SUM(C97:C101)</f>
        <v>0</v>
      </c>
      <c r="D102" s="354">
        <f t="shared" ref="D102:I102" si="20">SUM(D97:D101)</f>
        <v>0</v>
      </c>
      <c r="E102" s="354">
        <f t="shared" si="20"/>
        <v>0</v>
      </c>
      <c r="F102" s="354">
        <f t="shared" si="20"/>
        <v>0</v>
      </c>
      <c r="G102" s="354">
        <f t="shared" si="20"/>
        <v>0</v>
      </c>
      <c r="H102" s="354">
        <f t="shared" si="20"/>
        <v>0</v>
      </c>
      <c r="I102" s="354">
        <f t="shared" si="20"/>
        <v>0</v>
      </c>
      <c r="J102" s="83">
        <f>SUM(C102:I102)</f>
        <v>0</v>
      </c>
      <c r="K102" s="149">
        <f>+K101</f>
        <v>0</v>
      </c>
    </row>
    <row r="103" spans="1:11" x14ac:dyDescent="0.25">
      <c r="A103" s="79"/>
      <c r="B103" s="190"/>
      <c r="C103" s="324"/>
      <c r="D103" s="324"/>
      <c r="E103" s="324"/>
      <c r="F103" s="324"/>
      <c r="G103" s="324"/>
      <c r="H103" s="324"/>
      <c r="I103" s="324"/>
      <c r="J103" s="231"/>
      <c r="K103" s="82"/>
    </row>
    <row r="104" spans="1:11" x14ac:dyDescent="0.25">
      <c r="A104" s="62"/>
      <c r="B104" s="167"/>
      <c r="C104" s="8"/>
      <c r="D104" s="8"/>
      <c r="E104" s="16"/>
      <c r="F104" s="8"/>
      <c r="G104" s="16"/>
      <c r="H104" s="16"/>
      <c r="I104" s="16"/>
      <c r="J104" s="258">
        <f>SUM(C104:I104)</f>
        <v>0</v>
      </c>
      <c r="K104" s="100">
        <f>+K103+J104</f>
        <v>0</v>
      </c>
    </row>
    <row r="105" spans="1:11" x14ac:dyDescent="0.25">
      <c r="A105" s="323"/>
      <c r="B105" s="167"/>
      <c r="C105" s="8"/>
      <c r="D105" s="8"/>
      <c r="E105" s="16"/>
      <c r="F105" s="16"/>
      <c r="G105" s="8"/>
      <c r="H105" s="16"/>
      <c r="I105" s="16"/>
      <c r="J105" s="258">
        <f>SUM(C105:I105)</f>
        <v>0</v>
      </c>
      <c r="K105" s="100">
        <f>+K104+J105</f>
        <v>0</v>
      </c>
    </row>
    <row r="106" spans="1:11" x14ac:dyDescent="0.25">
      <c r="A106" s="323"/>
      <c r="B106" s="200"/>
      <c r="C106" s="8"/>
      <c r="D106" s="8"/>
      <c r="E106" s="16"/>
      <c r="F106" s="16"/>
      <c r="G106" s="8"/>
      <c r="H106" s="16"/>
      <c r="I106" s="16"/>
      <c r="J106" s="258">
        <f>SUM(C106:I106)</f>
        <v>0</v>
      </c>
      <c r="K106" s="100">
        <f>+K105+J106</f>
        <v>0</v>
      </c>
    </row>
    <row r="107" spans="1:11" x14ac:dyDescent="0.25">
      <c r="A107" s="323"/>
      <c r="B107" s="200"/>
      <c r="C107" s="8"/>
      <c r="D107" s="8"/>
      <c r="E107" s="16"/>
      <c r="F107" s="16"/>
      <c r="G107" s="8"/>
      <c r="H107" s="16"/>
      <c r="I107" s="16"/>
      <c r="J107" s="258">
        <f>SUM(C107:I107)</f>
        <v>0</v>
      </c>
      <c r="K107" s="100">
        <f>+K106+J107</f>
        <v>0</v>
      </c>
    </row>
    <row r="108" spans="1:11" ht="15.75" thickBot="1" x14ac:dyDescent="0.3">
      <c r="A108" s="348"/>
      <c r="B108" s="346"/>
      <c r="C108" s="70"/>
      <c r="D108" s="64"/>
      <c r="E108" s="70"/>
      <c r="F108" s="70"/>
      <c r="G108" s="70"/>
      <c r="H108" s="70"/>
      <c r="I108" s="70"/>
      <c r="J108" s="258">
        <f>SUM(C108:I108)</f>
        <v>0</v>
      </c>
      <c r="K108" s="100">
        <f>+K107+J108</f>
        <v>0</v>
      </c>
    </row>
    <row r="109" spans="1:11" ht="15.75" thickBot="1" x14ac:dyDescent="0.3">
      <c r="A109" s="319"/>
      <c r="B109" s="352"/>
      <c r="C109" s="83"/>
      <c r="D109" s="83"/>
      <c r="E109" s="83"/>
      <c r="F109" s="83"/>
      <c r="G109" s="83"/>
      <c r="H109" s="83"/>
      <c r="I109" s="83"/>
      <c r="J109" s="354">
        <f>SUM(J104:J108)</f>
        <v>0</v>
      </c>
      <c r="K109" s="149">
        <f>SUM(K108)</f>
        <v>0</v>
      </c>
    </row>
    <row r="110" spans="1:11" x14ac:dyDescent="0.25">
      <c r="A110" s="145"/>
      <c r="B110" s="191"/>
      <c r="C110" s="81"/>
      <c r="D110" s="81"/>
      <c r="E110" s="80"/>
      <c r="F110" s="81"/>
      <c r="G110" s="81"/>
      <c r="H110" s="81"/>
      <c r="I110" s="81"/>
      <c r="J110" s="258">
        <f t="shared" ref="J110:J117" si="21">SUM(C110:I110)</f>
        <v>0</v>
      </c>
      <c r="K110" s="100">
        <f t="shared" ref="K110:K117" si="22">+K109+J110</f>
        <v>0</v>
      </c>
    </row>
    <row r="111" spans="1:11" x14ac:dyDescent="0.25">
      <c r="A111" s="61"/>
      <c r="B111" s="168"/>
      <c r="C111" s="8"/>
      <c r="D111" s="8"/>
      <c r="E111" s="8"/>
      <c r="F111" s="8"/>
      <c r="G111" s="80"/>
      <c r="H111" s="81"/>
      <c r="I111" s="8"/>
      <c r="J111" s="258">
        <f t="shared" si="21"/>
        <v>0</v>
      </c>
      <c r="K111" s="100">
        <f t="shared" si="22"/>
        <v>0</v>
      </c>
    </row>
    <row r="112" spans="1:11" x14ac:dyDescent="0.25">
      <c r="A112" s="62"/>
      <c r="B112" s="167"/>
      <c r="C112" s="8"/>
      <c r="D112" s="8"/>
      <c r="E112" s="8"/>
      <c r="F112" s="16"/>
      <c r="G112" s="16"/>
      <c r="H112" s="16"/>
      <c r="I112" s="16"/>
      <c r="J112" s="8">
        <f t="shared" si="21"/>
        <v>0</v>
      </c>
      <c r="K112" s="100">
        <f t="shared" si="22"/>
        <v>0</v>
      </c>
    </row>
    <row r="113" spans="1:11" x14ac:dyDescent="0.25">
      <c r="A113" s="69"/>
      <c r="B113" s="348"/>
      <c r="C113" s="64"/>
      <c r="D113" s="64"/>
      <c r="E113" s="70"/>
      <c r="F113" s="64"/>
      <c r="G113" s="64"/>
      <c r="H113" s="70"/>
      <c r="I113" s="70"/>
      <c r="J113" s="8">
        <f t="shared" si="21"/>
        <v>0</v>
      </c>
      <c r="K113" s="100">
        <f t="shared" si="22"/>
        <v>0</v>
      </c>
    </row>
    <row r="114" spans="1:11" x14ac:dyDescent="0.25">
      <c r="A114" s="226"/>
      <c r="B114" s="255"/>
      <c r="C114" s="78"/>
      <c r="D114" s="78"/>
      <c r="E114" s="124"/>
      <c r="F114" s="78"/>
      <c r="G114" s="78"/>
      <c r="H114" s="124"/>
      <c r="I114" s="124"/>
      <c r="J114" s="8">
        <f t="shared" si="21"/>
        <v>0</v>
      </c>
      <c r="K114" s="100">
        <f t="shared" si="22"/>
        <v>0</v>
      </c>
    </row>
    <row r="115" spans="1:11" x14ac:dyDescent="0.25">
      <c r="A115" s="226"/>
      <c r="B115" s="255"/>
      <c r="C115" s="78"/>
      <c r="D115" s="78"/>
      <c r="E115" s="124"/>
      <c r="F115" s="78"/>
      <c r="G115" s="78"/>
      <c r="H115" s="124"/>
      <c r="I115" s="124"/>
      <c r="J115" s="8">
        <f t="shared" si="21"/>
        <v>0</v>
      </c>
      <c r="K115" s="100">
        <f t="shared" si="22"/>
        <v>0</v>
      </c>
    </row>
    <row r="116" spans="1:11" x14ac:dyDescent="0.25">
      <c r="A116" s="226"/>
      <c r="B116" s="255"/>
      <c r="C116" s="78"/>
      <c r="D116" s="78"/>
      <c r="E116" s="124"/>
      <c r="F116" s="78"/>
      <c r="G116" s="78"/>
      <c r="H116" s="124"/>
      <c r="I116" s="124"/>
      <c r="J116" s="78">
        <f t="shared" si="21"/>
        <v>0</v>
      </c>
      <c r="K116" s="100">
        <f t="shared" si="22"/>
        <v>0</v>
      </c>
    </row>
    <row r="117" spans="1:11" ht="15.75" thickBot="1" x14ac:dyDescent="0.3">
      <c r="A117" s="370"/>
      <c r="B117" s="371"/>
      <c r="C117" s="116"/>
      <c r="D117" s="116"/>
      <c r="E117" s="15"/>
      <c r="F117" s="15"/>
      <c r="G117" s="15"/>
      <c r="H117" s="15"/>
      <c r="I117" s="15"/>
      <c r="J117" s="78">
        <f t="shared" si="21"/>
        <v>0</v>
      </c>
      <c r="K117" s="100">
        <f t="shared" si="22"/>
        <v>0</v>
      </c>
    </row>
    <row r="118" spans="1:11" ht="15.75" thickBot="1" x14ac:dyDescent="0.3">
      <c r="A118" s="36" t="s">
        <v>61</v>
      </c>
      <c r="B118" s="193"/>
      <c r="C118" s="15">
        <f t="shared" ref="C118:I118" si="23">SUM(C109:C117)</f>
        <v>0</v>
      </c>
      <c r="D118" s="15">
        <f t="shared" si="23"/>
        <v>0</v>
      </c>
      <c r="E118" s="15">
        <f t="shared" si="23"/>
        <v>0</v>
      </c>
      <c r="F118" s="347">
        <f t="shared" si="23"/>
        <v>0</v>
      </c>
      <c r="G118" s="15">
        <f t="shared" si="23"/>
        <v>0</v>
      </c>
      <c r="H118" s="15">
        <f t="shared" si="23"/>
        <v>0</v>
      </c>
      <c r="I118" s="15">
        <f t="shared" si="23"/>
        <v>0</v>
      </c>
      <c r="J118" s="15">
        <f>SUM(J110:J117)</f>
        <v>0</v>
      </c>
      <c r="K118" s="14">
        <f>SUM(K117)</f>
        <v>0</v>
      </c>
    </row>
    <row r="119" spans="1:11" x14ac:dyDescent="0.25">
      <c r="A119" t="s">
        <v>5</v>
      </c>
    </row>
    <row r="121" spans="1:11" x14ac:dyDescent="0.25">
      <c r="A121" s="98" t="s">
        <v>67</v>
      </c>
      <c r="B121" s="98"/>
      <c r="C121" s="327">
        <f t="shared" ref="C121:I121" si="24">C11-C102</f>
        <v>0</v>
      </c>
      <c r="D121" s="327">
        <f t="shared" si="24"/>
        <v>0</v>
      </c>
      <c r="E121" s="327">
        <f t="shared" si="24"/>
        <v>0</v>
      </c>
      <c r="F121" s="327">
        <f t="shared" si="24"/>
        <v>0</v>
      </c>
      <c r="G121" s="327">
        <f t="shared" si="24"/>
        <v>0</v>
      </c>
      <c r="H121" s="327">
        <f t="shared" si="24"/>
        <v>0</v>
      </c>
      <c r="I121" s="327">
        <f t="shared" si="24"/>
        <v>0</v>
      </c>
      <c r="J121" s="327"/>
      <c r="K121" s="327">
        <f>+K38-K109</f>
        <v>0</v>
      </c>
    </row>
  </sheetData>
  <pageMargins left="0.7" right="0.7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58"/>
  <sheetViews>
    <sheetView view="pageLayout" topLeftCell="A35" zoomScaleNormal="100" workbookViewId="0">
      <selection activeCell="A54" sqref="A54"/>
    </sheetView>
  </sheetViews>
  <sheetFormatPr baseColWidth="10" defaultColWidth="11.42578125" defaultRowHeight="15" x14ac:dyDescent="0.25"/>
  <cols>
    <col min="2" max="2" width="9.7109375" customWidth="1"/>
    <col min="3" max="3" width="11.5703125" customWidth="1"/>
    <col min="4" max="4" width="11.28515625" customWidth="1"/>
    <col min="5" max="5" width="13.7109375" customWidth="1"/>
    <col min="6" max="6" width="11.140625" customWidth="1"/>
    <col min="7" max="7" width="13" customWidth="1"/>
    <col min="8" max="8" width="11.7109375" customWidth="1"/>
    <col min="9" max="9" width="11.42578125" customWidth="1"/>
    <col min="10" max="10" width="12.140625" customWidth="1"/>
    <col min="11" max="11" width="11.42578125" customWidth="1"/>
    <col min="12" max="12" width="12.7109375" customWidth="1"/>
    <col min="13" max="13" width="13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6406</v>
      </c>
      <c r="I3" t="s">
        <v>75</v>
      </c>
    </row>
    <row r="4" spans="1:11" x14ac:dyDescent="0.25">
      <c r="E4" t="s">
        <v>6</v>
      </c>
      <c r="F4" s="13" t="s">
        <v>30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>
        <v>1</v>
      </c>
      <c r="D6" s="41">
        <v>2</v>
      </c>
      <c r="E6" s="41">
        <v>3</v>
      </c>
      <c r="F6" s="41">
        <v>4</v>
      </c>
      <c r="G6" s="41">
        <v>5</v>
      </c>
      <c r="H6" s="41">
        <v>6</v>
      </c>
      <c r="I6" s="41">
        <v>7</v>
      </c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>
        <v>4386000</v>
      </c>
      <c r="D7" s="26"/>
      <c r="E7" s="26">
        <v>2799000</v>
      </c>
      <c r="F7" s="26"/>
      <c r="G7" s="26">
        <v>2380000</v>
      </c>
      <c r="H7" s="26"/>
      <c r="I7" s="26">
        <v>1500000</v>
      </c>
      <c r="J7" s="28">
        <f>SUM(B7:I7)</f>
        <v>11065000</v>
      </c>
      <c r="K7" s="29">
        <f>J7</f>
        <v>11065000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4386000</v>
      </c>
      <c r="D11" s="27">
        <f t="shared" si="0"/>
        <v>0</v>
      </c>
      <c r="E11" s="27">
        <f t="shared" si="0"/>
        <v>2799000</v>
      </c>
      <c r="F11" s="27">
        <f t="shared" si="0"/>
        <v>0</v>
      </c>
      <c r="G11" s="27">
        <f t="shared" si="0"/>
        <v>2380000</v>
      </c>
      <c r="H11" s="27">
        <f t="shared" si="0"/>
        <v>0</v>
      </c>
      <c r="I11" s="27">
        <f t="shared" si="0"/>
        <v>1500000</v>
      </c>
      <c r="J11" s="27">
        <f t="shared" si="0"/>
        <v>11065000</v>
      </c>
      <c r="K11" s="23">
        <f>K10+J11</f>
        <v>11065000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 t="s">
        <v>502</v>
      </c>
      <c r="B13" s="35"/>
      <c r="C13" s="35"/>
      <c r="D13" s="35"/>
      <c r="E13" s="57">
        <v>204600</v>
      </c>
      <c r="F13" s="35"/>
      <c r="G13" s="35"/>
      <c r="H13" s="35"/>
      <c r="I13" s="518"/>
      <c r="J13" s="8">
        <f>SUM(B13:I13)</f>
        <v>204600</v>
      </c>
      <c r="K13" s="519">
        <f>J13</f>
        <v>204600</v>
      </c>
    </row>
    <row r="14" spans="1:11" x14ac:dyDescent="0.25">
      <c r="A14" s="17" t="s">
        <v>503</v>
      </c>
      <c r="B14" s="16"/>
      <c r="C14" s="16"/>
      <c r="D14" s="16"/>
      <c r="E14" s="8">
        <v>285600</v>
      </c>
      <c r="F14" s="16"/>
      <c r="G14" s="16"/>
      <c r="H14" s="16"/>
      <c r="I14" s="505"/>
      <c r="J14" s="8">
        <f t="shared" ref="J14:J24" si="1">SUM(B14:I14)</f>
        <v>285600</v>
      </c>
      <c r="K14" s="122">
        <f>+K13+J14</f>
        <v>490200</v>
      </c>
    </row>
    <row r="15" spans="1:11" x14ac:dyDescent="0.25">
      <c r="A15" s="1" t="s">
        <v>504</v>
      </c>
      <c r="B15" s="8"/>
      <c r="C15" s="8"/>
      <c r="D15" s="8"/>
      <c r="E15" s="8">
        <v>159600</v>
      </c>
      <c r="F15" s="8"/>
      <c r="G15" s="8"/>
      <c r="H15" s="8"/>
      <c r="I15" s="150"/>
      <c r="J15" s="8">
        <f t="shared" si="1"/>
        <v>159600</v>
      </c>
      <c r="K15" s="122">
        <f t="shared" ref="K15:K24" si="2">+K14+J15</f>
        <v>649800</v>
      </c>
    </row>
    <row r="16" spans="1:11" x14ac:dyDescent="0.25">
      <c r="A16" s="17" t="s">
        <v>505</v>
      </c>
      <c r="B16" s="16"/>
      <c r="C16" s="16"/>
      <c r="D16" s="16"/>
      <c r="E16" s="8">
        <v>73350</v>
      </c>
      <c r="F16" s="16"/>
      <c r="G16" s="16"/>
      <c r="H16" s="16"/>
      <c r="I16" s="505"/>
      <c r="J16" s="8">
        <f t="shared" si="1"/>
        <v>73350</v>
      </c>
      <c r="K16" s="122">
        <f t="shared" si="2"/>
        <v>723150</v>
      </c>
    </row>
    <row r="17" spans="1:11" x14ac:dyDescent="0.25">
      <c r="A17" s="1" t="s">
        <v>506</v>
      </c>
      <c r="B17" s="8"/>
      <c r="C17" s="8"/>
      <c r="D17" s="8"/>
      <c r="E17" s="8">
        <v>8400</v>
      </c>
      <c r="F17" s="8"/>
      <c r="G17" s="8"/>
      <c r="H17" s="8"/>
      <c r="I17" s="150"/>
      <c r="J17" s="8">
        <f t="shared" si="1"/>
        <v>8400</v>
      </c>
      <c r="K17" s="122">
        <f t="shared" si="2"/>
        <v>731550</v>
      </c>
    </row>
    <row r="18" spans="1:11" x14ac:dyDescent="0.25">
      <c r="A18" s="17" t="s">
        <v>507</v>
      </c>
      <c r="B18" s="16"/>
      <c r="C18" s="16"/>
      <c r="D18" s="16"/>
      <c r="E18" s="8">
        <v>177800</v>
      </c>
      <c r="F18" s="16"/>
      <c r="G18" s="16"/>
      <c r="H18" s="16"/>
      <c r="I18" s="505"/>
      <c r="J18" s="8">
        <f t="shared" si="1"/>
        <v>177800</v>
      </c>
      <c r="K18" s="122">
        <f t="shared" si="2"/>
        <v>909350</v>
      </c>
    </row>
    <row r="19" spans="1:11" x14ac:dyDescent="0.25">
      <c r="A19" s="17" t="s">
        <v>508</v>
      </c>
      <c r="B19" s="16"/>
      <c r="C19" s="16"/>
      <c r="D19" s="16"/>
      <c r="E19" s="8">
        <v>190400</v>
      </c>
      <c r="F19" s="16"/>
      <c r="G19" s="16"/>
      <c r="H19" s="16"/>
      <c r="I19" s="505"/>
      <c r="J19" s="8">
        <f t="shared" si="1"/>
        <v>190400</v>
      </c>
      <c r="K19" s="122">
        <f t="shared" si="2"/>
        <v>1099750</v>
      </c>
    </row>
    <row r="20" spans="1:11" x14ac:dyDescent="0.25">
      <c r="A20" s="18" t="s">
        <v>509</v>
      </c>
      <c r="B20" s="16"/>
      <c r="C20" s="8"/>
      <c r="D20" s="8"/>
      <c r="E20" s="8">
        <v>327000</v>
      </c>
      <c r="F20" s="8"/>
      <c r="G20" s="8"/>
      <c r="H20" s="8"/>
      <c r="I20" s="150"/>
      <c r="J20" s="8">
        <f t="shared" si="1"/>
        <v>327000</v>
      </c>
      <c r="K20" s="122">
        <f t="shared" si="2"/>
        <v>1426750</v>
      </c>
    </row>
    <row r="21" spans="1:11" x14ac:dyDescent="0.25">
      <c r="A21" s="1" t="s">
        <v>510</v>
      </c>
      <c r="B21" s="8"/>
      <c r="C21" s="8"/>
      <c r="D21" s="8"/>
      <c r="E21" s="8">
        <v>206200</v>
      </c>
      <c r="F21" s="8"/>
      <c r="G21" s="8"/>
      <c r="H21" s="8"/>
      <c r="I21" s="150"/>
      <c r="J21" s="8">
        <f t="shared" si="1"/>
        <v>206200</v>
      </c>
      <c r="K21" s="122">
        <f t="shared" si="2"/>
        <v>1632950</v>
      </c>
    </row>
    <row r="22" spans="1:11" x14ac:dyDescent="0.25">
      <c r="A22" s="17" t="s">
        <v>511</v>
      </c>
      <c r="B22" s="16"/>
      <c r="C22" s="16"/>
      <c r="D22" s="16"/>
      <c r="E22" s="8">
        <v>16800</v>
      </c>
      <c r="F22" s="16"/>
      <c r="G22" s="16"/>
      <c r="H22" s="16"/>
      <c r="I22" s="505"/>
      <c r="J22" s="8">
        <f t="shared" si="1"/>
        <v>16800</v>
      </c>
      <c r="K22" s="122">
        <f t="shared" si="2"/>
        <v>1649750</v>
      </c>
    </row>
    <row r="23" spans="1:11" x14ac:dyDescent="0.25">
      <c r="A23" s="1" t="s">
        <v>512</v>
      </c>
      <c r="B23" s="8"/>
      <c r="C23" s="8"/>
      <c r="D23" s="8"/>
      <c r="E23" s="8">
        <v>181800</v>
      </c>
      <c r="F23" s="8"/>
      <c r="G23" s="8"/>
      <c r="H23" s="8"/>
      <c r="I23" s="150"/>
      <c r="J23" s="8">
        <f t="shared" si="1"/>
        <v>181800</v>
      </c>
      <c r="K23" s="122">
        <f t="shared" si="2"/>
        <v>1831550</v>
      </c>
    </row>
    <row r="24" spans="1:11" ht="15.75" thickBot="1" x14ac:dyDescent="0.3">
      <c r="A24" s="2" t="s">
        <v>513</v>
      </c>
      <c r="B24" s="3"/>
      <c r="C24" s="3"/>
      <c r="D24" s="3"/>
      <c r="E24" s="10">
        <v>8400</v>
      </c>
      <c r="F24" s="3"/>
      <c r="G24" s="3"/>
      <c r="H24" s="3"/>
      <c r="I24" s="3"/>
      <c r="J24" s="81">
        <f t="shared" si="1"/>
        <v>8400</v>
      </c>
      <c r="K24" s="122">
        <f t="shared" si="2"/>
        <v>1839950</v>
      </c>
    </row>
    <row r="25" spans="1:11" ht="23.25" customHeight="1" thickBot="1" x14ac:dyDescent="0.3">
      <c r="A25" s="36" t="s">
        <v>0</v>
      </c>
      <c r="B25" s="15">
        <v>0</v>
      </c>
      <c r="C25" s="15"/>
      <c r="D25" s="37">
        <v>0</v>
      </c>
      <c r="E25" s="517">
        <f t="shared" ref="E25:J25" si="3">SUM(E13:E24)</f>
        <v>1839950</v>
      </c>
      <c r="F25" s="517">
        <f t="shared" si="3"/>
        <v>0</v>
      </c>
      <c r="G25" s="517">
        <f t="shared" si="3"/>
        <v>0</v>
      </c>
      <c r="H25" s="517">
        <f t="shared" si="3"/>
        <v>0</v>
      </c>
      <c r="I25" s="517">
        <f t="shared" si="3"/>
        <v>0</v>
      </c>
      <c r="J25" s="517">
        <f t="shared" si="3"/>
        <v>1839950</v>
      </c>
      <c r="K25" s="14">
        <f>+K24</f>
        <v>1839950</v>
      </c>
    </row>
    <row r="26" spans="1:11" x14ac:dyDescent="0.25">
      <c r="A26" t="s">
        <v>5</v>
      </c>
    </row>
    <row r="29" spans="1:11" x14ac:dyDescent="0.25">
      <c r="A29" t="s">
        <v>9</v>
      </c>
      <c r="E29" t="s">
        <v>50</v>
      </c>
      <c r="I29" t="s">
        <v>45</v>
      </c>
    </row>
    <row r="30" spans="1:11" x14ac:dyDescent="0.25">
      <c r="A30" t="s">
        <v>44</v>
      </c>
    </row>
    <row r="31" spans="1:11" x14ac:dyDescent="0.25">
      <c r="E31" t="s">
        <v>13</v>
      </c>
      <c r="F31" s="13">
        <v>6406</v>
      </c>
      <c r="I31" t="s">
        <v>75</v>
      </c>
    </row>
    <row r="32" spans="1:11" x14ac:dyDescent="0.25">
      <c r="E32" t="s">
        <v>6</v>
      </c>
      <c r="F32" s="13" t="s">
        <v>7</v>
      </c>
    </row>
    <row r="33" spans="1:11" ht="15.75" thickBot="1" x14ac:dyDescent="0.3"/>
    <row r="34" spans="1:11" ht="30.75" thickBot="1" x14ac:dyDescent="0.3">
      <c r="A34" s="75" t="s">
        <v>42</v>
      </c>
      <c r="B34" s="45"/>
      <c r="C34" s="45">
        <v>1</v>
      </c>
      <c r="D34" s="45">
        <v>2</v>
      </c>
      <c r="E34" s="45">
        <v>3</v>
      </c>
      <c r="F34" s="45">
        <v>4</v>
      </c>
      <c r="G34" s="45">
        <v>5</v>
      </c>
      <c r="H34" s="45">
        <v>6</v>
      </c>
      <c r="I34" s="45">
        <v>7</v>
      </c>
      <c r="J34" s="51" t="s">
        <v>16</v>
      </c>
      <c r="K34" s="40" t="s">
        <v>17</v>
      </c>
    </row>
    <row r="35" spans="1:11" x14ac:dyDescent="0.25">
      <c r="A35" s="76" t="s">
        <v>43</v>
      </c>
      <c r="B35" s="276"/>
      <c r="C35" s="35">
        <f>C24</f>
        <v>0</v>
      </c>
      <c r="D35" s="35">
        <f>D24</f>
        <v>0</v>
      </c>
      <c r="E35" s="35">
        <f t="shared" ref="E35:J35" si="4">E25</f>
        <v>1839950</v>
      </c>
      <c r="F35" s="35">
        <f t="shared" si="4"/>
        <v>0</v>
      </c>
      <c r="G35" s="35">
        <f t="shared" si="4"/>
        <v>0</v>
      </c>
      <c r="H35" s="35">
        <f t="shared" si="4"/>
        <v>0</v>
      </c>
      <c r="I35" s="35">
        <f t="shared" si="4"/>
        <v>0</v>
      </c>
      <c r="J35" s="35">
        <f t="shared" si="4"/>
        <v>1839950</v>
      </c>
      <c r="K35" s="35">
        <f>K24</f>
        <v>1839950</v>
      </c>
    </row>
    <row r="36" spans="1:11" x14ac:dyDescent="0.25">
      <c r="A36" s="61" t="s">
        <v>609</v>
      </c>
      <c r="B36" s="278"/>
      <c r="C36" s="8"/>
      <c r="D36" s="8"/>
      <c r="E36" s="16">
        <v>8400</v>
      </c>
      <c r="F36" s="16"/>
      <c r="G36" s="8"/>
      <c r="H36" s="16"/>
      <c r="I36" s="16"/>
      <c r="J36" s="233">
        <f>SUM(C36:I36)</f>
        <v>8400</v>
      </c>
      <c r="K36" s="9">
        <f>+K35+J36</f>
        <v>1848350</v>
      </c>
    </row>
    <row r="37" spans="1:11" x14ac:dyDescent="0.25">
      <c r="A37" s="226" t="s">
        <v>610</v>
      </c>
      <c r="B37" s="372"/>
      <c r="C37" s="286"/>
      <c r="D37" s="78"/>
      <c r="E37" s="286">
        <v>8400</v>
      </c>
      <c r="F37" s="221"/>
      <c r="G37" s="221"/>
      <c r="H37" s="220"/>
      <c r="I37" s="373"/>
      <c r="J37" s="233">
        <f>SUM(C37:I37)</f>
        <v>8400</v>
      </c>
      <c r="K37" s="9">
        <f>+K36+J37</f>
        <v>1856750</v>
      </c>
    </row>
    <row r="38" spans="1:11" x14ac:dyDescent="0.25">
      <c r="A38" s="200" t="s">
        <v>611</v>
      </c>
      <c r="B38" s="178"/>
      <c r="C38" s="8"/>
      <c r="D38" s="8"/>
      <c r="E38" s="8">
        <v>335400</v>
      </c>
      <c r="F38" s="8"/>
      <c r="G38" s="8"/>
      <c r="H38" s="8">
        <f>SUM(H35:H37)</f>
        <v>0</v>
      </c>
      <c r="I38" s="8">
        <f>SUM(I35:I37)</f>
        <v>0</v>
      </c>
      <c r="J38" s="233">
        <f>SUM(C38:I38)</f>
        <v>335400</v>
      </c>
      <c r="K38" s="9">
        <f>+K37+J38</f>
        <v>2192150</v>
      </c>
    </row>
    <row r="39" spans="1:11" x14ac:dyDescent="0.25">
      <c r="A39" s="200" t="s">
        <v>612</v>
      </c>
      <c r="B39" s="178"/>
      <c r="C39" s="8"/>
      <c r="D39" s="8"/>
      <c r="E39" s="8">
        <v>317800</v>
      </c>
      <c r="F39" s="176"/>
      <c r="G39" s="176"/>
      <c r="H39" s="176"/>
      <c r="I39" s="234"/>
      <c r="J39" s="233">
        <f>SUM(C39:I39)</f>
        <v>317800</v>
      </c>
      <c r="K39" s="9">
        <f>+K38+J39</f>
        <v>2509950</v>
      </c>
    </row>
    <row r="40" spans="1:11" ht="15.75" thickBot="1" x14ac:dyDescent="0.3">
      <c r="A40" s="292" t="s">
        <v>613</v>
      </c>
      <c r="B40" s="182"/>
      <c r="C40" s="10"/>
      <c r="D40" s="10"/>
      <c r="E40" s="10">
        <v>288800</v>
      </c>
      <c r="F40" s="10"/>
      <c r="G40" s="10"/>
      <c r="H40" s="10">
        <f>SUM(H38:H39)</f>
        <v>0</v>
      </c>
      <c r="I40" s="10">
        <f>SUM(I38:I39)</f>
        <v>0</v>
      </c>
      <c r="J40" s="242">
        <f>SUM(C40:I40)</f>
        <v>288800</v>
      </c>
      <c r="K40" s="11">
        <f>+K39+J40</f>
        <v>2798750</v>
      </c>
    </row>
    <row r="41" spans="1:11" x14ac:dyDescent="0.25">
      <c r="A41" s="265" t="s">
        <v>65</v>
      </c>
      <c r="B41" s="181"/>
      <c r="C41" s="80"/>
      <c r="D41" s="80"/>
      <c r="E41" s="80">
        <f>SUM(E35:E40)</f>
        <v>2798750</v>
      </c>
      <c r="F41" s="318"/>
      <c r="G41" s="318"/>
      <c r="H41" s="318"/>
      <c r="I41" s="241"/>
      <c r="J41" s="245">
        <f t="shared" ref="J41:J53" si="5">SUM(C41:I41)</f>
        <v>2798750</v>
      </c>
      <c r="K41" s="80">
        <f>+K40</f>
        <v>2798750</v>
      </c>
    </row>
    <row r="42" spans="1:11" x14ac:dyDescent="0.25">
      <c r="A42" s="200" t="s">
        <v>779</v>
      </c>
      <c r="B42" s="278"/>
      <c r="C42" s="217"/>
      <c r="D42" s="16"/>
      <c r="E42" s="217"/>
      <c r="F42" s="176"/>
      <c r="G42" s="8">
        <v>630000</v>
      </c>
      <c r="H42" s="185"/>
      <c r="I42" s="234"/>
      <c r="J42" s="236">
        <f t="shared" si="5"/>
        <v>630000</v>
      </c>
      <c r="K42" s="8">
        <f t="shared" ref="K42:K50" si="6">+K41+J42</f>
        <v>3428750</v>
      </c>
    </row>
    <row r="43" spans="1:11" x14ac:dyDescent="0.25">
      <c r="A43" s="200" t="s">
        <v>780</v>
      </c>
      <c r="B43" s="278"/>
      <c r="C43" s="217"/>
      <c r="D43" s="16"/>
      <c r="E43" s="217"/>
      <c r="F43" s="176"/>
      <c r="G43" s="8">
        <v>225000</v>
      </c>
      <c r="H43" s="185"/>
      <c r="I43" s="234"/>
      <c r="J43" s="236">
        <f t="shared" si="5"/>
        <v>225000</v>
      </c>
      <c r="K43" s="8">
        <f t="shared" si="6"/>
        <v>3653750</v>
      </c>
    </row>
    <row r="44" spans="1:11" x14ac:dyDescent="0.25">
      <c r="A44" s="200" t="s">
        <v>781</v>
      </c>
      <c r="B44" s="278"/>
      <c r="C44" s="217"/>
      <c r="D44" s="16"/>
      <c r="E44" s="217"/>
      <c r="F44" s="176"/>
      <c r="G44" s="8">
        <v>375000</v>
      </c>
      <c r="H44" s="185"/>
      <c r="I44" s="234"/>
      <c r="J44" s="236">
        <f t="shared" si="5"/>
        <v>375000</v>
      </c>
      <c r="K44" s="8">
        <f t="shared" si="6"/>
        <v>4028750</v>
      </c>
    </row>
    <row r="45" spans="1:11" ht="15.75" thickBot="1" x14ac:dyDescent="0.3">
      <c r="A45" s="292" t="s">
        <v>782</v>
      </c>
      <c r="B45" s="300"/>
      <c r="C45" s="215"/>
      <c r="D45" s="3"/>
      <c r="E45" s="215"/>
      <c r="F45" s="194"/>
      <c r="G45" s="10">
        <v>750000</v>
      </c>
      <c r="H45" s="199"/>
      <c r="I45" s="242"/>
      <c r="J45" s="489">
        <f t="shared" si="5"/>
        <v>750000</v>
      </c>
      <c r="K45" s="10">
        <f t="shared" si="6"/>
        <v>4778750</v>
      </c>
    </row>
    <row r="46" spans="1:11" x14ac:dyDescent="0.25">
      <c r="A46" s="265" t="s">
        <v>74</v>
      </c>
      <c r="B46" s="181"/>
      <c r="C46" s="80"/>
      <c r="D46" s="80"/>
      <c r="E46" s="80">
        <f>SUM(E41:E45)</f>
        <v>2798750</v>
      </c>
      <c r="F46" s="80">
        <f>SUM(F41:F45)</f>
        <v>0</v>
      </c>
      <c r="G46" s="80">
        <f>SUM(G41:G45)</f>
        <v>1980000</v>
      </c>
      <c r="H46" s="80">
        <f>SUM(H41:H45)</f>
        <v>0</v>
      </c>
      <c r="I46" s="80">
        <f>SUM(I41:I45)</f>
        <v>0</v>
      </c>
      <c r="J46" s="245">
        <f>SUM(J42:J45)</f>
        <v>1980000</v>
      </c>
      <c r="K46" s="80">
        <f>+K45</f>
        <v>4778750</v>
      </c>
    </row>
    <row r="47" spans="1:11" x14ac:dyDescent="0.25">
      <c r="A47" s="200" t="s">
        <v>912</v>
      </c>
      <c r="B47" s="278"/>
      <c r="C47" s="217"/>
      <c r="D47" s="16"/>
      <c r="E47" s="217"/>
      <c r="F47" s="176"/>
      <c r="G47" s="203">
        <v>396000</v>
      </c>
      <c r="H47" s="185"/>
      <c r="I47" s="234"/>
      <c r="J47" s="236">
        <f t="shared" si="5"/>
        <v>396000</v>
      </c>
      <c r="K47" s="8">
        <f t="shared" si="6"/>
        <v>5174750</v>
      </c>
    </row>
    <row r="48" spans="1:11" x14ac:dyDescent="0.25">
      <c r="A48" s="200" t="s">
        <v>930</v>
      </c>
      <c r="B48" s="278"/>
      <c r="C48" s="217">
        <v>1551662</v>
      </c>
      <c r="D48" s="16"/>
      <c r="E48" s="217"/>
      <c r="F48" s="176"/>
      <c r="G48" s="176"/>
      <c r="H48" s="185"/>
      <c r="I48" s="234"/>
      <c r="J48" s="236">
        <f t="shared" si="5"/>
        <v>1551662</v>
      </c>
      <c r="K48" s="8">
        <f t="shared" si="6"/>
        <v>6726412</v>
      </c>
    </row>
    <row r="49" spans="1:11" x14ac:dyDescent="0.25">
      <c r="A49" s="200" t="s">
        <v>929</v>
      </c>
      <c r="B49" s="278"/>
      <c r="C49" s="217">
        <v>1513433</v>
      </c>
      <c r="D49" s="16"/>
      <c r="E49" s="217"/>
      <c r="F49" s="176"/>
      <c r="G49" s="176"/>
      <c r="H49" s="185"/>
      <c r="I49" s="234"/>
      <c r="J49" s="236">
        <f t="shared" si="5"/>
        <v>1513433</v>
      </c>
      <c r="K49" s="8">
        <f t="shared" si="6"/>
        <v>8239845</v>
      </c>
    </row>
    <row r="50" spans="1:11" x14ac:dyDescent="0.25">
      <c r="A50" s="200"/>
      <c r="B50" s="278"/>
      <c r="C50" s="217"/>
      <c r="D50" s="16"/>
      <c r="E50" s="217"/>
      <c r="F50" s="176"/>
      <c r="G50" s="176"/>
      <c r="H50" s="185"/>
      <c r="I50" s="234"/>
      <c r="J50" s="236">
        <f t="shared" si="5"/>
        <v>0</v>
      </c>
      <c r="K50" s="8">
        <f t="shared" si="6"/>
        <v>8239845</v>
      </c>
    </row>
    <row r="51" spans="1:11" x14ac:dyDescent="0.25">
      <c r="A51" s="200"/>
      <c r="B51" s="278"/>
      <c r="C51" s="217"/>
      <c r="D51" s="16"/>
      <c r="E51" s="217"/>
      <c r="F51" s="176"/>
      <c r="G51" s="176"/>
      <c r="H51" s="185"/>
      <c r="I51" s="234"/>
      <c r="J51" s="236">
        <f t="shared" si="5"/>
        <v>0</v>
      </c>
      <c r="K51" s="8"/>
    </row>
    <row r="52" spans="1:11" x14ac:dyDescent="0.25">
      <c r="A52" s="200"/>
      <c r="B52" s="278"/>
      <c r="C52" s="217"/>
      <c r="D52" s="16"/>
      <c r="E52" s="217"/>
      <c r="F52" s="176"/>
      <c r="G52" s="176"/>
      <c r="H52" s="185"/>
      <c r="I52" s="234"/>
      <c r="J52" s="236">
        <f t="shared" si="5"/>
        <v>0</v>
      </c>
      <c r="K52" s="8"/>
    </row>
    <row r="53" spans="1:11" ht="15.75" thickBot="1" x14ac:dyDescent="0.3">
      <c r="A53" s="226"/>
      <c r="B53" s="372"/>
      <c r="C53" s="286"/>
      <c r="D53" s="124"/>
      <c r="E53" s="286"/>
      <c r="F53" s="221"/>
      <c r="G53" s="221"/>
      <c r="H53" s="220"/>
      <c r="I53" s="373"/>
      <c r="J53" s="387">
        <f t="shared" si="5"/>
        <v>0</v>
      </c>
      <c r="K53" s="100"/>
    </row>
    <row r="54" spans="1:11" ht="15.75" thickBot="1" x14ac:dyDescent="0.3">
      <c r="A54" s="319" t="s">
        <v>914</v>
      </c>
      <c r="B54" s="339"/>
      <c r="C54" s="83">
        <f>SUM(C37:C53)</f>
        <v>3065095</v>
      </c>
      <c r="D54" s="83">
        <f>SUM(D37:D53)</f>
        <v>0</v>
      </c>
      <c r="E54" s="83">
        <f>SUM(E46:E53)</f>
        <v>2798750</v>
      </c>
      <c r="F54" s="83">
        <f t="shared" ref="F54:I54" si="7">SUM(F46:F53)</f>
        <v>0</v>
      </c>
      <c r="G54" s="83">
        <f t="shared" si="7"/>
        <v>2376000</v>
      </c>
      <c r="H54" s="83">
        <f t="shared" si="7"/>
        <v>0</v>
      </c>
      <c r="I54" s="83">
        <f t="shared" si="7"/>
        <v>0</v>
      </c>
      <c r="J54" s="361"/>
      <c r="K54" s="149"/>
    </row>
    <row r="55" spans="1:11" ht="15.75" thickBot="1" x14ac:dyDescent="0.3">
      <c r="A55" s="319"/>
      <c r="B55" s="339" t="s">
        <v>61</v>
      </c>
      <c r="C55" s="83"/>
      <c r="D55" s="83"/>
      <c r="E55" s="83"/>
      <c r="F55" s="83"/>
      <c r="G55" s="83"/>
      <c r="H55" s="83">
        <f>SUM(H37:H54)</f>
        <v>0</v>
      </c>
      <c r="I55" s="83"/>
      <c r="J55" s="83"/>
      <c r="K55" s="149" t="e">
        <f>SUM(#REF!)</f>
        <v>#REF!</v>
      </c>
    </row>
    <row r="56" spans="1:11" x14ac:dyDescent="0.25">
      <c r="A56" t="s">
        <v>5</v>
      </c>
    </row>
    <row r="58" spans="1:11" x14ac:dyDescent="0.25">
      <c r="A58" s="98" t="s">
        <v>67</v>
      </c>
      <c r="B58" s="98"/>
      <c r="C58" s="327">
        <f>C11-C54</f>
        <v>1320905</v>
      </c>
      <c r="D58" s="327">
        <f>+D39-D56</f>
        <v>0</v>
      </c>
      <c r="E58" s="327">
        <f>+E11-E54</f>
        <v>250</v>
      </c>
      <c r="F58" s="327">
        <f t="shared" ref="F58:I58" si="8">+F11-F54</f>
        <v>0</v>
      </c>
      <c r="G58" s="327">
        <f t="shared" si="8"/>
        <v>4000</v>
      </c>
      <c r="H58" s="327">
        <f t="shared" si="8"/>
        <v>0</v>
      </c>
      <c r="I58" s="327">
        <f t="shared" si="8"/>
        <v>1500000</v>
      </c>
      <c r="J58" s="327"/>
      <c r="K58" s="327">
        <f>SUM(D58:J58)</f>
        <v>1504250</v>
      </c>
    </row>
  </sheetData>
  <pageMargins left="0.7" right="0.7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7"/>
  <sheetViews>
    <sheetView topLeftCell="A7" workbookViewId="0">
      <selection activeCell="E21" sqref="E21"/>
    </sheetView>
  </sheetViews>
  <sheetFormatPr baseColWidth="10" defaultColWidth="11.42578125" defaultRowHeight="15" x14ac:dyDescent="0.25"/>
  <cols>
    <col min="2" max="2" width="8.42578125" customWidth="1"/>
    <col min="3" max="3" width="9.5703125" customWidth="1"/>
    <col min="4" max="4" width="10" customWidth="1"/>
    <col min="5" max="5" width="10.7109375" customWidth="1"/>
    <col min="6" max="6" width="10.85546875" customWidth="1"/>
    <col min="7" max="7" width="10.5703125" customWidth="1"/>
    <col min="8" max="8" width="11.7109375" bestFit="1" customWidth="1"/>
    <col min="9" max="9" width="10" customWidth="1"/>
    <col min="11" max="11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6415</v>
      </c>
      <c r="I3" t="s">
        <v>75</v>
      </c>
    </row>
    <row r="4" spans="1:11" x14ac:dyDescent="0.25">
      <c r="E4" t="s">
        <v>6</v>
      </c>
      <c r="F4" s="13" t="s">
        <v>33</v>
      </c>
    </row>
    <row r="5" spans="1:11" ht="15.75" thickBot="1" x14ac:dyDescent="0.3">
      <c r="F5" s="13" t="s">
        <v>32</v>
      </c>
      <c r="G5" s="13"/>
      <c r="H5" s="13"/>
    </row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1350000</v>
      </c>
      <c r="I7" s="26"/>
      <c r="J7" s="28">
        <f>SUM(B7:I7)</f>
        <v>1350000</v>
      </c>
      <c r="K7" s="29">
        <f>J7</f>
        <v>1350000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1350000</v>
      </c>
      <c r="I11" s="27">
        <f t="shared" si="0"/>
        <v>0</v>
      </c>
      <c r="J11" s="27">
        <f t="shared" si="0"/>
        <v>1350000</v>
      </c>
      <c r="K11" s="23">
        <f>K10+J11</f>
        <v>1350000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249" t="s">
        <v>788</v>
      </c>
      <c r="B13" s="57"/>
      <c r="C13" s="57"/>
      <c r="D13" s="57"/>
      <c r="E13" s="57"/>
      <c r="F13" s="57"/>
      <c r="G13" s="57"/>
      <c r="H13" s="57">
        <v>579653</v>
      </c>
      <c r="I13" s="57"/>
      <c r="J13" s="57">
        <f>SUM(B13:I13)</f>
        <v>579653</v>
      </c>
      <c r="K13" s="58">
        <f>J13</f>
        <v>579653</v>
      </c>
    </row>
    <row r="14" spans="1:11" x14ac:dyDescent="0.25">
      <c r="A14" s="1"/>
      <c r="B14" s="8"/>
      <c r="C14" s="8"/>
      <c r="D14" s="8"/>
      <c r="E14" s="8"/>
      <c r="F14" s="8"/>
      <c r="G14" s="8"/>
      <c r="H14" s="8"/>
      <c r="I14" s="8"/>
      <c r="J14" s="8"/>
      <c r="K14" s="9"/>
    </row>
    <row r="15" spans="1:11" ht="15.75" thickBot="1" x14ac:dyDescent="0.3">
      <c r="A15" s="376"/>
      <c r="B15" s="70"/>
      <c r="C15" s="70"/>
      <c r="D15" s="70"/>
      <c r="E15" s="70"/>
      <c r="F15" s="70"/>
      <c r="G15" s="70"/>
      <c r="H15" s="70"/>
      <c r="I15" s="70"/>
      <c r="J15" s="64"/>
      <c r="K15" s="65"/>
    </row>
    <row r="16" spans="1:11" ht="15.75" thickBot="1" x14ac:dyDescent="0.3">
      <c r="A16" s="353" t="s">
        <v>74</v>
      </c>
      <c r="B16" s="83"/>
      <c r="C16" s="83"/>
      <c r="D16" s="83"/>
      <c r="E16" s="83"/>
      <c r="F16" s="83"/>
      <c r="G16" s="83"/>
      <c r="H16" s="83">
        <f>SUM(H13:H15)</f>
        <v>579653</v>
      </c>
      <c r="I16" s="83"/>
      <c r="J16" s="83"/>
      <c r="K16" s="149">
        <f>+K13</f>
        <v>579653</v>
      </c>
    </row>
    <row r="17" spans="1:11" x14ac:dyDescent="0.25">
      <c r="A17" s="151"/>
      <c r="B17" s="80"/>
      <c r="C17" s="80"/>
      <c r="D17" s="80"/>
      <c r="E17" s="80"/>
      <c r="F17" s="80"/>
      <c r="G17" s="80"/>
      <c r="H17" s="80"/>
      <c r="I17" s="80"/>
      <c r="J17" s="81"/>
      <c r="K17" s="100"/>
    </row>
    <row r="18" spans="1:11" x14ac:dyDescent="0.25">
      <c r="A18" s="17"/>
      <c r="B18" s="16"/>
      <c r="C18" s="16"/>
      <c r="D18" s="16"/>
      <c r="E18" s="8"/>
      <c r="F18" s="16"/>
      <c r="G18" s="16"/>
      <c r="H18" s="16"/>
      <c r="I18" s="16"/>
      <c r="J18" s="8"/>
      <c r="K18" s="9"/>
    </row>
    <row r="19" spans="1:11" x14ac:dyDescent="0.25">
      <c r="A19" s="18"/>
      <c r="B19" s="16"/>
      <c r="C19" s="8"/>
      <c r="D19" s="8"/>
      <c r="E19" s="8"/>
      <c r="F19" s="8"/>
      <c r="G19" s="8"/>
      <c r="H19" s="8"/>
      <c r="I19" s="8"/>
      <c r="J19" s="8"/>
      <c r="K19" s="9"/>
    </row>
    <row r="20" spans="1:11" x14ac:dyDescent="0.25">
      <c r="A20" s="1"/>
      <c r="B20" s="8"/>
      <c r="C20" s="8"/>
      <c r="D20" s="8"/>
      <c r="E20" s="16"/>
      <c r="F20" s="8"/>
      <c r="G20" s="8"/>
      <c r="H20" s="8"/>
      <c r="I20" s="8"/>
      <c r="J20" s="8"/>
      <c r="K20" s="9"/>
    </row>
    <row r="21" spans="1:11" x14ac:dyDescent="0.25">
      <c r="A21" s="17"/>
      <c r="B21" s="16"/>
      <c r="C21" s="16"/>
      <c r="D21" s="16"/>
      <c r="E21" s="8"/>
      <c r="F21" s="16"/>
      <c r="G21" s="16"/>
      <c r="H21" s="16"/>
      <c r="I21" s="16"/>
      <c r="J21" s="8"/>
      <c r="K21" s="9"/>
    </row>
    <row r="22" spans="1:11" x14ac:dyDescent="0.25">
      <c r="A22" s="1"/>
      <c r="B22" s="8"/>
      <c r="C22" s="8"/>
      <c r="D22" s="8"/>
      <c r="E22" s="16"/>
      <c r="F22" s="8"/>
      <c r="G22" s="8"/>
      <c r="H22" s="8"/>
      <c r="I22" s="8"/>
      <c r="J22" s="8"/>
      <c r="K22" s="9"/>
    </row>
    <row r="23" spans="1:11" ht="15.75" thickBot="1" x14ac:dyDescent="0.3">
      <c r="A23" s="2"/>
      <c r="B23" s="3"/>
      <c r="C23" s="3"/>
      <c r="D23" s="3"/>
      <c r="E23" s="3"/>
      <c r="F23" s="3"/>
      <c r="G23" s="3"/>
      <c r="H23" s="3"/>
      <c r="I23" s="3"/>
      <c r="J23" s="10"/>
      <c r="K23" s="11"/>
    </row>
    <row r="24" spans="1:11" ht="15.75" thickBot="1" x14ac:dyDescent="0.3">
      <c r="A24" s="36" t="s">
        <v>0</v>
      </c>
      <c r="B24" s="15">
        <v>0</v>
      </c>
      <c r="C24" s="15"/>
      <c r="D24" s="37">
        <v>0</v>
      </c>
      <c r="E24" s="41"/>
      <c r="F24" s="38">
        <v>0</v>
      </c>
      <c r="G24" s="15">
        <v>0</v>
      </c>
      <c r="H24" s="15">
        <v>0</v>
      </c>
      <c r="I24" s="15">
        <v>0</v>
      </c>
      <c r="J24" s="15"/>
      <c r="K24" s="14"/>
    </row>
    <row r="25" spans="1:11" ht="23.25" customHeight="1" x14ac:dyDescent="0.25">
      <c r="A25" t="s">
        <v>5</v>
      </c>
    </row>
    <row r="27" spans="1:11" x14ac:dyDescent="0.25">
      <c r="A27" s="98"/>
      <c r="B27" s="98"/>
      <c r="C27" s="98"/>
      <c r="D27" s="98"/>
      <c r="E27" s="98"/>
      <c r="F27" s="98"/>
      <c r="G27" s="98"/>
      <c r="H27" s="327">
        <f>+H7-H16</f>
        <v>770347</v>
      </c>
      <c r="I27" s="327">
        <f>+I7-I24</f>
        <v>0</v>
      </c>
      <c r="J27" s="327"/>
      <c r="K27" s="327">
        <f>SUM(H27:J27)</f>
        <v>770347</v>
      </c>
    </row>
  </sheetData>
  <pageMargins left="0.7" right="0.7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workbookViewId="0">
      <selection activeCell="E14" sqref="E14"/>
    </sheetView>
  </sheetViews>
  <sheetFormatPr baseColWidth="10" defaultColWidth="11.42578125" defaultRowHeight="15" x14ac:dyDescent="0.25"/>
  <cols>
    <col min="8" max="8" width="11.7109375" bestFit="1" customWidth="1"/>
    <col min="10" max="10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6416</v>
      </c>
      <c r="I3" t="s">
        <v>75</v>
      </c>
    </row>
    <row r="4" spans="1:11" x14ac:dyDescent="0.25">
      <c r="E4" t="s">
        <v>6</v>
      </c>
      <c r="F4" s="13" t="s">
        <v>55</v>
      </c>
    </row>
    <row r="5" spans="1:11" ht="15.75" thickBot="1" x14ac:dyDescent="0.3">
      <c r="F5" s="13"/>
      <c r="G5" s="13"/>
      <c r="H5" s="13"/>
    </row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8"/>
      <c r="B13" s="59"/>
      <c r="C13" s="59"/>
      <c r="D13" s="59"/>
      <c r="E13" s="59"/>
      <c r="F13" s="59"/>
      <c r="G13" s="59"/>
      <c r="H13" s="59"/>
      <c r="I13" s="59"/>
      <c r="J13" s="59">
        <f>SUM(B13:I13)</f>
        <v>0</v>
      </c>
      <c r="K13" s="67">
        <f>J13</f>
        <v>0</v>
      </c>
    </row>
    <row r="14" spans="1:11" ht="15.75" thickBot="1" x14ac:dyDescent="0.3">
      <c r="A14" s="353"/>
      <c r="B14" s="83"/>
      <c r="C14" s="83"/>
      <c r="D14" s="83"/>
      <c r="E14" s="83"/>
      <c r="F14" s="83"/>
      <c r="G14" s="83"/>
      <c r="H14" s="83">
        <f>SUM(H13)</f>
        <v>0</v>
      </c>
      <c r="I14" s="83"/>
      <c r="J14" s="110"/>
      <c r="K14" s="115">
        <f>SUM(K13)</f>
        <v>0</v>
      </c>
    </row>
    <row r="15" spans="1:11" x14ac:dyDescent="0.25">
      <c r="A15" s="390"/>
      <c r="B15" s="391"/>
      <c r="C15" s="81"/>
      <c r="D15" s="81"/>
      <c r="E15" s="81"/>
      <c r="F15" s="81"/>
      <c r="G15" s="81"/>
      <c r="H15" s="177"/>
      <c r="I15" s="81"/>
      <c r="J15" s="81"/>
      <c r="K15" s="100">
        <f>+K14+H15</f>
        <v>0</v>
      </c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>
        <v>0</v>
      </c>
      <c r="J23" s="15">
        <f>+J13</f>
        <v>0</v>
      </c>
      <c r="K23" s="15"/>
    </row>
    <row r="24" spans="1:11" x14ac:dyDescent="0.25">
      <c r="A24" t="s">
        <v>5</v>
      </c>
    </row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+H7-H23</f>
        <v>0</v>
      </c>
      <c r="I26" s="327">
        <f>+I7-I23</f>
        <v>0</v>
      </c>
      <c r="J26" s="327"/>
      <c r="K26" s="327"/>
    </row>
  </sheetData>
  <pageMargins left="0.7" right="0.7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6"/>
  <sheetViews>
    <sheetView topLeftCell="A10" workbookViewId="0">
      <selection activeCell="J18" sqref="J18"/>
    </sheetView>
  </sheetViews>
  <sheetFormatPr baseColWidth="10" defaultColWidth="11.42578125" defaultRowHeight="15" x14ac:dyDescent="0.25"/>
  <cols>
    <col min="2" max="2" width="10.42578125" customWidth="1"/>
    <col min="3" max="3" width="10.7109375" customWidth="1"/>
    <col min="4" max="4" width="11.140625" customWidth="1"/>
    <col min="5" max="5" width="10.28515625" customWidth="1"/>
    <col min="6" max="6" width="10.42578125" customWidth="1"/>
    <col min="7" max="7" width="10.7109375" customWidth="1"/>
    <col min="8" max="8" width="11.7109375" bestFit="1" customWidth="1"/>
    <col min="9" max="9" width="10.7109375" customWidth="1"/>
    <col min="11" max="11" width="11.425781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6420</v>
      </c>
      <c r="I3" t="s">
        <v>75</v>
      </c>
    </row>
    <row r="4" spans="1:11" x14ac:dyDescent="0.25">
      <c r="E4" t="s">
        <v>6</v>
      </c>
      <c r="F4" s="13" t="s">
        <v>34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1930000</v>
      </c>
      <c r="I7" s="26"/>
      <c r="J7" s="28">
        <f>SUM(B7:I7)</f>
        <v>1930000</v>
      </c>
      <c r="K7" s="29">
        <f>J7</f>
        <v>1930000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1930000</v>
      </c>
      <c r="I11" s="27">
        <f t="shared" si="0"/>
        <v>0</v>
      </c>
      <c r="J11" s="27">
        <f t="shared" si="0"/>
        <v>1930000</v>
      </c>
      <c r="K11" s="23">
        <f>K10+J11</f>
        <v>1930000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 t="s">
        <v>730</v>
      </c>
      <c r="B13" s="110"/>
      <c r="C13" s="110"/>
      <c r="D13" s="110"/>
      <c r="E13" s="110"/>
      <c r="F13" s="110"/>
      <c r="G13" s="110"/>
      <c r="H13" s="110">
        <v>1930000</v>
      </c>
      <c r="I13" s="110"/>
      <c r="J13" s="110">
        <f>SUM(B13:I13)</f>
        <v>1930000</v>
      </c>
      <c r="K13" s="115">
        <f>J13</f>
        <v>1930000</v>
      </c>
    </row>
    <row r="14" spans="1:11" x14ac:dyDescent="0.25">
      <c r="A14" s="514" t="s">
        <v>70</v>
      </c>
      <c r="B14" s="80"/>
      <c r="C14" s="80"/>
      <c r="D14" s="80"/>
      <c r="E14" s="80"/>
      <c r="F14" s="80"/>
      <c r="G14" s="80"/>
      <c r="H14" s="80">
        <f>SUM(H13)</f>
        <v>1930000</v>
      </c>
      <c r="I14" s="80"/>
      <c r="J14" s="81"/>
      <c r="K14" s="80">
        <f>SUM(K13)</f>
        <v>1930000</v>
      </c>
    </row>
    <row r="15" spans="1:11" x14ac:dyDescent="0.25">
      <c r="A15" s="357"/>
      <c r="B15" s="81"/>
      <c r="C15" s="81"/>
      <c r="D15" s="81"/>
      <c r="E15" s="81"/>
      <c r="F15" s="81"/>
      <c r="G15" s="81"/>
      <c r="H15" s="81"/>
      <c r="I15" s="81"/>
      <c r="J15" s="81"/>
      <c r="K15" s="100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7"/>
      <c r="B17" s="16"/>
      <c r="C17" s="16"/>
      <c r="D17" s="16"/>
      <c r="E17" s="8"/>
      <c r="F17" s="16"/>
      <c r="G17" s="16"/>
      <c r="H17" s="16"/>
      <c r="I17" s="16"/>
      <c r="J17" s="8"/>
      <c r="K17" s="9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/>
      <c r="J23" s="15"/>
      <c r="K23" s="14"/>
    </row>
    <row r="24" spans="1:11" x14ac:dyDescent="0.25">
      <c r="A24" t="s">
        <v>5</v>
      </c>
    </row>
    <row r="25" spans="1:11" ht="23.2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+H7-H14</f>
        <v>0</v>
      </c>
      <c r="I26" s="327">
        <f>+I7-I14</f>
        <v>0</v>
      </c>
      <c r="J26" s="327"/>
      <c r="K26" s="327">
        <f>+K7-K23</f>
        <v>1930000</v>
      </c>
    </row>
  </sheetData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H17" sqref="H17"/>
    </sheetView>
  </sheetViews>
  <sheetFormatPr baseColWidth="10" defaultColWidth="11.42578125" defaultRowHeight="15" x14ac:dyDescent="0.25"/>
  <cols>
    <col min="2" max="2" width="10.5703125" customWidth="1"/>
    <col min="3" max="3" width="10.85546875" customWidth="1"/>
    <col min="4" max="5" width="11" customWidth="1"/>
    <col min="6" max="6" width="10.42578125" customWidth="1"/>
    <col min="7" max="7" width="10.140625" customWidth="1"/>
    <col min="8" max="8" width="11.42578125" customWidth="1"/>
    <col min="9" max="9" width="10.85546875" customWidth="1"/>
    <col min="11" max="11" width="11.140625" customWidth="1"/>
    <col min="13" max="13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6421</v>
      </c>
      <c r="I3" t="s">
        <v>75</v>
      </c>
    </row>
    <row r="4" spans="1:11" x14ac:dyDescent="0.25">
      <c r="E4" t="s">
        <v>6</v>
      </c>
      <c r="F4" s="13" t="s">
        <v>35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1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4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0"/>
      <c r="D8" s="22"/>
      <c r="E8" s="21"/>
      <c r="F8" s="21"/>
      <c r="G8" s="21"/>
      <c r="H8" s="21"/>
      <c r="I8" s="21"/>
      <c r="J8" s="22">
        <f>SUM(B8:I8)</f>
        <v>0</v>
      </c>
      <c r="K8" s="23">
        <f>K7+J8</f>
        <v>0</v>
      </c>
    </row>
    <row r="9" spans="1:11" x14ac:dyDescent="0.25">
      <c r="A9" s="32" t="s">
        <v>2</v>
      </c>
      <c r="B9" s="6"/>
      <c r="C9" s="6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6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5"/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/>
      <c r="B13" s="35"/>
      <c r="C13" s="35"/>
      <c r="D13" s="35"/>
      <c r="E13" s="35"/>
      <c r="F13" s="35"/>
      <c r="G13" s="35"/>
      <c r="H13" s="35"/>
      <c r="I13" s="35"/>
      <c r="J13" s="35">
        <f>SUM(B13:I13)</f>
        <v>0</v>
      </c>
      <c r="K13" s="12">
        <f>J13</f>
        <v>0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16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23.25" customHeight="1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  <pageSetup paperSize="9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workbookViewId="0">
      <selection activeCell="H21" sqref="H21"/>
    </sheetView>
  </sheetViews>
  <sheetFormatPr baseColWidth="10" defaultColWidth="11.42578125" defaultRowHeight="15" x14ac:dyDescent="0.25"/>
  <cols>
    <col min="2" max="3" width="10.42578125" customWidth="1"/>
    <col min="4" max="4" width="10.140625" customWidth="1"/>
    <col min="5" max="5" width="10.5703125" customWidth="1"/>
    <col min="6" max="6" width="10.42578125" customWidth="1"/>
    <col min="7" max="7" width="11.140625" customWidth="1"/>
    <col min="8" max="8" width="12" customWidth="1"/>
    <col min="9" max="9" width="10.28515625" customWidth="1"/>
    <col min="11" max="11" width="11.7109375" bestFit="1" customWidth="1"/>
    <col min="13" max="13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6422</v>
      </c>
      <c r="I3" t="s">
        <v>75</v>
      </c>
    </row>
    <row r="4" spans="1:11" x14ac:dyDescent="0.25">
      <c r="E4" t="s">
        <v>6</v>
      </c>
      <c r="F4" s="13" t="s">
        <v>36</v>
      </c>
    </row>
    <row r="5" spans="1:11" ht="15.75" thickBot="1" x14ac:dyDescent="0.3"/>
    <row r="6" spans="1:11" ht="30.75" thickBot="1" x14ac:dyDescent="0.3">
      <c r="A6" s="39" t="s">
        <v>1</v>
      </c>
      <c r="B6" s="49"/>
      <c r="C6" s="53"/>
      <c r="D6" s="49"/>
      <c r="E6" s="49"/>
      <c r="F6" s="49"/>
      <c r="G6" s="49"/>
      <c r="H6" s="55">
        <v>8</v>
      </c>
      <c r="I6" s="49"/>
      <c r="J6" s="54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1000000</v>
      </c>
      <c r="I7" s="26"/>
      <c r="J7" s="28">
        <f>SUM(B7:I7)</f>
        <v>1000000</v>
      </c>
      <c r="K7" s="29">
        <f>J7</f>
        <v>1000000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1000000</v>
      </c>
      <c r="I11" s="27">
        <f t="shared" si="0"/>
        <v>0</v>
      </c>
      <c r="J11" s="27">
        <f t="shared" si="0"/>
        <v>1000000</v>
      </c>
      <c r="K11" s="23">
        <f>K10+J11</f>
        <v>1000000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 t="s">
        <v>731</v>
      </c>
      <c r="B13" s="110"/>
      <c r="C13" s="110"/>
      <c r="D13" s="110"/>
      <c r="E13" s="110"/>
      <c r="F13" s="110"/>
      <c r="G13" s="110"/>
      <c r="H13" s="110">
        <v>854920</v>
      </c>
      <c r="I13" s="110"/>
      <c r="J13" s="110">
        <f>SUM(B13:I13)</f>
        <v>854920</v>
      </c>
      <c r="K13" s="115">
        <f>J13</f>
        <v>854920</v>
      </c>
    </row>
    <row r="14" spans="1:11" x14ac:dyDescent="0.25">
      <c r="A14" s="151" t="s">
        <v>70</v>
      </c>
      <c r="B14" s="80"/>
      <c r="C14" s="80"/>
      <c r="D14" s="80"/>
      <c r="E14" s="80"/>
      <c r="F14" s="80"/>
      <c r="G14" s="80"/>
      <c r="H14" s="80">
        <f>SUM(H13)</f>
        <v>854920</v>
      </c>
      <c r="I14" s="485"/>
      <c r="J14" s="80">
        <f>SUM(B14:I14)</f>
        <v>854920</v>
      </c>
      <c r="K14" s="540">
        <f>+K13</f>
        <v>854920</v>
      </c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150"/>
      <c r="J15" s="81">
        <f>SUM(B15:I15)</f>
        <v>0</v>
      </c>
      <c r="K15" s="122"/>
    </row>
    <row r="16" spans="1:11" x14ac:dyDescent="0.25">
      <c r="A16" s="18"/>
      <c r="B16" s="8"/>
      <c r="C16" s="8"/>
      <c r="D16" s="8"/>
      <c r="E16" s="8"/>
      <c r="F16" s="8"/>
      <c r="G16" s="8"/>
      <c r="H16" s="8"/>
      <c r="I16" s="8"/>
      <c r="J16" s="8">
        <f>SUM(B16:I16)</f>
        <v>0</v>
      </c>
      <c r="K16" s="9"/>
    </row>
    <row r="17" spans="1:11" x14ac:dyDescent="0.25">
      <c r="A17" s="17"/>
      <c r="B17" s="16"/>
      <c r="C17" s="16"/>
      <c r="D17" s="16"/>
      <c r="E17" s="16"/>
      <c r="F17" s="16"/>
      <c r="G17" s="16"/>
      <c r="H17" s="16"/>
      <c r="I17" s="16"/>
      <c r="J17" s="16"/>
      <c r="K17" s="74"/>
    </row>
    <row r="18" spans="1:11" x14ac:dyDescent="0.25">
      <c r="A18" s="151"/>
      <c r="B18" s="80"/>
      <c r="C18" s="80"/>
      <c r="D18" s="80"/>
      <c r="E18" s="80"/>
      <c r="F18" s="80"/>
      <c r="G18" s="80"/>
      <c r="H18" s="80"/>
      <c r="I18" s="80"/>
      <c r="J18" s="81"/>
      <c r="K18" s="100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>
        <v>0</v>
      </c>
      <c r="J23" s="15"/>
      <c r="K23" s="14"/>
    </row>
    <row r="24" spans="1:11" x14ac:dyDescent="0.25">
      <c r="A24" t="s">
        <v>5</v>
      </c>
    </row>
    <row r="25" spans="1:11" ht="22.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+H11-H14</f>
        <v>145080</v>
      </c>
      <c r="I26" s="327">
        <f>+I11-I14</f>
        <v>0</v>
      </c>
      <c r="J26" s="327"/>
      <c r="K26" s="327">
        <f>+K7-K17</f>
        <v>1000000</v>
      </c>
    </row>
  </sheetData>
  <pageMargins left="0.7" right="0.7" top="0.75" bottom="0.75" header="0.3" footer="0.3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workbookViewId="0">
      <selection activeCell="K24" sqref="A1:K24"/>
    </sheetView>
  </sheetViews>
  <sheetFormatPr baseColWidth="10" defaultColWidth="11.42578125" defaultRowHeight="15" x14ac:dyDescent="0.25"/>
  <cols>
    <col min="2" max="2" width="10.5703125" customWidth="1"/>
    <col min="3" max="3" width="11" customWidth="1"/>
    <col min="4" max="4" width="10.42578125" customWidth="1"/>
    <col min="5" max="5" width="11.140625" customWidth="1"/>
    <col min="6" max="6" width="10.7109375" customWidth="1"/>
    <col min="7" max="7" width="10.42578125" customWidth="1"/>
    <col min="8" max="8" width="11.7109375" bestFit="1" customWidth="1"/>
    <col min="9" max="9" width="10.42578125" customWidth="1"/>
    <col min="10" max="10" width="12.42578125" customWidth="1"/>
    <col min="11" max="11" width="11.855468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6426</v>
      </c>
      <c r="I3" t="s">
        <v>75</v>
      </c>
    </row>
    <row r="4" spans="1:11" x14ac:dyDescent="0.25">
      <c r="E4" t="s">
        <v>6</v>
      </c>
      <c r="F4" s="13" t="s">
        <v>37</v>
      </c>
    </row>
    <row r="5" spans="1:11" ht="15.75" thickBot="1" x14ac:dyDescent="0.3"/>
    <row r="6" spans="1:11" ht="31.5" customHeight="1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1500000</v>
      </c>
      <c r="I7" s="26"/>
      <c r="J7" s="28">
        <f>SUM(B7:I7)</f>
        <v>1500000</v>
      </c>
      <c r="K7" s="29">
        <f>J7</f>
        <v>1500000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1500000</v>
      </c>
      <c r="I11" s="27">
        <f t="shared" si="0"/>
        <v>0</v>
      </c>
      <c r="J11" s="27">
        <f t="shared" si="0"/>
        <v>1500000</v>
      </c>
      <c r="K11" s="23">
        <f>K10+J11</f>
        <v>1500000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6" t="s">
        <v>778</v>
      </c>
      <c r="B13" s="77"/>
      <c r="C13" s="59"/>
      <c r="D13" s="59"/>
      <c r="E13" s="59"/>
      <c r="F13" s="59"/>
      <c r="G13" s="59"/>
      <c r="H13" s="59">
        <v>1412346</v>
      </c>
      <c r="I13" s="59"/>
      <c r="J13" s="59">
        <f>SUM(B13:I13)</f>
        <v>1412346</v>
      </c>
      <c r="K13" s="67">
        <f>J13</f>
        <v>1412346</v>
      </c>
    </row>
    <row r="14" spans="1:11" ht="15.75" thickBot="1" x14ac:dyDescent="0.3">
      <c r="A14" s="353" t="s">
        <v>70</v>
      </c>
      <c r="B14" s="83"/>
      <c r="C14" s="83"/>
      <c r="D14" s="83"/>
      <c r="E14" s="83"/>
      <c r="F14" s="83"/>
      <c r="G14" s="83"/>
      <c r="H14" s="83">
        <f>SUM(H13)</f>
        <v>1412346</v>
      </c>
      <c r="I14" s="83"/>
      <c r="J14" s="83">
        <f>SUM(J13)</f>
        <v>1412346</v>
      </c>
      <c r="K14" s="149">
        <f>SUM(K13)</f>
        <v>1412346</v>
      </c>
    </row>
    <row r="15" spans="1:11" x14ac:dyDescent="0.25">
      <c r="A15" s="357"/>
      <c r="B15" s="81"/>
      <c r="C15" s="81"/>
      <c r="D15" s="81"/>
      <c r="E15" s="81"/>
      <c r="F15" s="81"/>
      <c r="G15" s="81"/>
      <c r="H15" s="81"/>
      <c r="I15" s="81"/>
      <c r="J15" s="81"/>
      <c r="K15" s="100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>
        <v>0</v>
      </c>
      <c r="J23" s="15"/>
      <c r="K23" s="14"/>
    </row>
    <row r="24" spans="1:11" x14ac:dyDescent="0.25">
      <c r="A24" t="s">
        <v>5</v>
      </c>
    </row>
    <row r="25" spans="1:11" ht="24.7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+H7-H14</f>
        <v>87654</v>
      </c>
      <c r="I26" s="327">
        <f>+I7-I23</f>
        <v>0</v>
      </c>
      <c r="J26" s="327"/>
      <c r="K26" s="327">
        <f>+K7-K14</f>
        <v>87654</v>
      </c>
    </row>
  </sheetData>
  <pageMargins left="0.7" right="0.7" top="0.75" bottom="0.75" header="0.3" footer="0.3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I3" sqref="I3"/>
    </sheetView>
  </sheetViews>
  <sheetFormatPr baseColWidth="10" defaultColWidth="11.42578125" defaultRowHeight="15" x14ac:dyDescent="0.25"/>
  <cols>
    <col min="2" max="2" width="10.7109375" customWidth="1"/>
    <col min="3" max="3" width="10.85546875" customWidth="1"/>
    <col min="4" max="4" width="10.5703125" customWidth="1"/>
    <col min="5" max="5" width="10.42578125" customWidth="1"/>
    <col min="6" max="6" width="11" customWidth="1"/>
    <col min="7" max="7" width="10.7109375" customWidth="1"/>
    <col min="8" max="8" width="11.7109375" bestFit="1" customWidth="1"/>
    <col min="9" max="9" width="10.28515625" customWidth="1"/>
    <col min="10" max="10" width="11.42578125" customWidth="1"/>
    <col min="11" max="11" width="11.140625" customWidth="1"/>
    <col min="13" max="13" width="11.7109375" bestFit="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6430</v>
      </c>
      <c r="I3" t="s">
        <v>75</v>
      </c>
    </row>
    <row r="4" spans="1:11" x14ac:dyDescent="0.25">
      <c r="E4" t="s">
        <v>6</v>
      </c>
      <c r="F4" s="13" t="s">
        <v>38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1"/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/>
      <c r="I7" s="26"/>
      <c r="J7" s="28">
        <f>SUM(B7:I7)</f>
        <v>0</v>
      </c>
      <c r="K7" s="29">
        <f>J7</f>
        <v>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>
        <f>K7+J8</f>
        <v>0</v>
      </c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3">
        <f>K10+J11</f>
        <v>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/>
      <c r="B13" s="35"/>
      <c r="C13" s="35"/>
      <c r="D13" s="35"/>
      <c r="E13" s="35"/>
      <c r="F13" s="35"/>
      <c r="G13" s="35"/>
      <c r="H13" s="35"/>
      <c r="I13" s="35"/>
      <c r="J13" s="35">
        <f>SUM(B13:I13)</f>
        <v>0</v>
      </c>
      <c r="K13" s="12">
        <f>J13</f>
        <v>0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x14ac:dyDescent="0.25">
      <c r="A22" s="17"/>
      <c r="B22" s="16"/>
      <c r="C22" s="16"/>
      <c r="D22" s="16"/>
      <c r="E22" s="8"/>
      <c r="F22" s="16"/>
      <c r="G22" s="16"/>
      <c r="H22" s="16"/>
      <c r="I22" s="16"/>
      <c r="J22" s="8"/>
      <c r="K22" s="9"/>
    </row>
    <row r="23" spans="1:11" x14ac:dyDescent="0.25">
      <c r="A23" s="1"/>
      <c r="B23" s="8"/>
      <c r="C23" s="8"/>
      <c r="D23" s="8"/>
      <c r="E23" s="16"/>
      <c r="F23" s="8"/>
      <c r="G23" s="8"/>
      <c r="H23" s="8"/>
      <c r="I23" s="8"/>
      <c r="J23" s="8"/>
      <c r="K23" s="9"/>
    </row>
    <row r="24" spans="1:11" ht="15.75" thickBot="1" x14ac:dyDescent="0.3">
      <c r="A24" s="2"/>
      <c r="B24" s="3"/>
      <c r="C24" s="3"/>
      <c r="D24" s="3"/>
      <c r="E24" s="3"/>
      <c r="F24" s="3"/>
      <c r="G24" s="3"/>
      <c r="H24" s="3"/>
      <c r="I24" s="3"/>
      <c r="J24" s="10"/>
      <c r="K24" s="11"/>
    </row>
    <row r="25" spans="1:11" ht="24.75" customHeight="1" thickBot="1" x14ac:dyDescent="0.3">
      <c r="A25" s="36" t="s">
        <v>0</v>
      </c>
      <c r="B25" s="15">
        <v>0</v>
      </c>
      <c r="C25" s="15"/>
      <c r="D25" s="37">
        <v>0</v>
      </c>
      <c r="E25" s="41"/>
      <c r="F25" s="38">
        <v>0</v>
      </c>
      <c r="G25" s="15">
        <v>0</v>
      </c>
      <c r="H25" s="15">
        <v>0</v>
      </c>
      <c r="I25" s="15">
        <v>0</v>
      </c>
      <c r="J25" s="15"/>
      <c r="K25" s="14"/>
    </row>
    <row r="26" spans="1:11" x14ac:dyDescent="0.25">
      <c r="A26" t="s">
        <v>5</v>
      </c>
    </row>
  </sheetData>
  <pageMargins left="0.7" right="0.7" top="0.75" bottom="0.75" header="0.3" footer="0.3"/>
  <pageSetup paperSize="9" orientation="landscape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7"/>
  <sheetViews>
    <sheetView workbookViewId="0">
      <selection activeCell="H8" sqref="H8"/>
    </sheetView>
  </sheetViews>
  <sheetFormatPr baseColWidth="10" defaultColWidth="11.42578125" defaultRowHeight="15" x14ac:dyDescent="0.25"/>
  <cols>
    <col min="2" max="2" width="10.5703125" customWidth="1"/>
    <col min="3" max="3" width="11" customWidth="1"/>
    <col min="4" max="4" width="10.42578125" customWidth="1"/>
    <col min="5" max="5" width="11.5703125" customWidth="1"/>
    <col min="6" max="6" width="10.5703125" customWidth="1"/>
    <col min="7" max="7" width="10.28515625" customWidth="1"/>
    <col min="8" max="8" width="12.5703125" customWidth="1"/>
    <col min="9" max="9" width="10.28515625" customWidth="1"/>
    <col min="10" max="10" width="11.7109375" customWidth="1"/>
    <col min="11" max="11" width="13.85546875" customWidth="1"/>
    <col min="12" max="12" width="12.42578125" bestFit="1" customWidth="1"/>
    <col min="13" max="13" width="13.1406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6431</v>
      </c>
      <c r="I3" t="s">
        <v>75</v>
      </c>
    </row>
    <row r="4" spans="1:11" x14ac:dyDescent="0.25">
      <c r="E4" t="s">
        <v>6</v>
      </c>
      <c r="F4" s="13" t="s">
        <v>39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5"/>
      <c r="F6" s="41"/>
      <c r="G6" s="41"/>
      <c r="H6" s="41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>
        <f>-B16</f>
        <v>0</v>
      </c>
      <c r="C7" s="26"/>
      <c r="D7" s="26"/>
      <c r="E7" s="26"/>
      <c r="F7" s="26"/>
      <c r="G7" s="26"/>
      <c r="H7" s="26">
        <v>1500000</v>
      </c>
      <c r="I7" s="26"/>
      <c r="J7" s="28">
        <f>SUM(B7:I7)</f>
        <v>1500000</v>
      </c>
      <c r="K7" s="29">
        <f>J7</f>
        <v>1500000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1500000</v>
      </c>
      <c r="I11" s="27">
        <f t="shared" si="0"/>
        <v>0</v>
      </c>
      <c r="J11" s="27">
        <f t="shared" si="0"/>
        <v>1500000</v>
      </c>
      <c r="K11" s="23">
        <f>K10+J11</f>
        <v>1500000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249"/>
      <c r="B13" s="57"/>
      <c r="C13" s="57"/>
      <c r="D13" s="57"/>
      <c r="E13" s="57"/>
      <c r="F13" s="57"/>
      <c r="G13" s="57"/>
      <c r="H13" s="57"/>
      <c r="I13" s="57"/>
      <c r="J13" s="57">
        <f>SUM(B13:I13)</f>
        <v>0</v>
      </c>
      <c r="K13" s="58">
        <f>J13</f>
        <v>0</v>
      </c>
    </row>
    <row r="14" spans="1:11" ht="15.75" thickBot="1" x14ac:dyDescent="0.3">
      <c r="A14" s="18"/>
      <c r="B14" s="8"/>
      <c r="C14" s="8"/>
      <c r="D14" s="8"/>
      <c r="E14" s="8"/>
      <c r="F14" s="8"/>
      <c r="G14" s="8"/>
      <c r="H14" s="8"/>
      <c r="I14" s="8"/>
      <c r="J14" s="57">
        <f>SUM(B14:I14)</f>
        <v>0</v>
      </c>
      <c r="K14" s="9">
        <f>+K13+J14</f>
        <v>0</v>
      </c>
    </row>
    <row r="15" spans="1:11" ht="15.75" thickBot="1" x14ac:dyDescent="0.3">
      <c r="A15" s="270"/>
      <c r="B15" s="10"/>
      <c r="C15" s="10"/>
      <c r="D15" s="10"/>
      <c r="E15" s="10"/>
      <c r="F15" s="10"/>
      <c r="G15" s="10"/>
      <c r="H15" s="10"/>
      <c r="I15" s="10"/>
      <c r="J15" s="110">
        <f>SUM(B15:I15)</f>
        <v>0</v>
      </c>
      <c r="K15" s="11">
        <f>+K14+J15</f>
        <v>0</v>
      </c>
    </row>
    <row r="16" spans="1:11" x14ac:dyDescent="0.25">
      <c r="A16" s="151"/>
      <c r="B16" s="80"/>
      <c r="C16" s="80"/>
      <c r="D16" s="80"/>
      <c r="E16" s="80"/>
      <c r="F16" s="80"/>
      <c r="G16" s="80"/>
      <c r="H16" s="80">
        <f>SUM(H13:H15)</f>
        <v>0</v>
      </c>
      <c r="I16" s="80"/>
      <c r="J16" s="80">
        <f>SUM(J13:J15)</f>
        <v>0</v>
      </c>
      <c r="K16" s="82">
        <f>SUM(K15)</f>
        <v>0</v>
      </c>
    </row>
    <row r="17" spans="1:11" x14ac:dyDescent="0.25">
      <c r="A17" s="1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17"/>
      <c r="B18" s="16"/>
      <c r="C18" s="16"/>
      <c r="D18" s="16"/>
      <c r="E18" s="16"/>
      <c r="F18" s="16"/>
      <c r="G18" s="16"/>
      <c r="H18" s="16"/>
      <c r="I18" s="16"/>
      <c r="J18" s="8"/>
      <c r="K18" s="9"/>
    </row>
    <row r="19" spans="1:11" x14ac:dyDescent="0.25">
      <c r="A19" s="17"/>
      <c r="B19" s="16"/>
      <c r="C19" s="16"/>
      <c r="D19" s="16"/>
      <c r="E19" s="8"/>
      <c r="F19" s="16"/>
      <c r="G19" s="16"/>
      <c r="H19" s="16"/>
      <c r="I19" s="16"/>
      <c r="J19" s="8"/>
      <c r="K19" s="9"/>
    </row>
    <row r="20" spans="1:11" x14ac:dyDescent="0.25">
      <c r="A20" s="18"/>
      <c r="B20" s="16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17"/>
      <c r="B21" s="16"/>
      <c r="C21" s="16"/>
      <c r="D21" s="16"/>
      <c r="E21" s="8"/>
      <c r="F21" s="16"/>
      <c r="G21" s="16"/>
      <c r="H21" s="16"/>
      <c r="I21" s="16"/>
      <c r="J21" s="8"/>
      <c r="K21" s="9"/>
    </row>
    <row r="22" spans="1:11" x14ac:dyDescent="0.25">
      <c r="A22" s="1"/>
      <c r="B22" s="8"/>
      <c r="C22" s="8"/>
      <c r="D22" s="8"/>
      <c r="E22" s="16"/>
      <c r="F22" s="8"/>
      <c r="G22" s="8"/>
      <c r="H22" s="8"/>
      <c r="I22" s="8"/>
      <c r="J22" s="8"/>
      <c r="K22" s="9"/>
    </row>
    <row r="23" spans="1:11" ht="15.75" thickBot="1" x14ac:dyDescent="0.3">
      <c r="A23" s="2"/>
      <c r="B23" s="3"/>
      <c r="C23" s="3"/>
      <c r="D23" s="3"/>
      <c r="E23" s="3"/>
      <c r="F23" s="3"/>
      <c r="G23" s="3"/>
      <c r="H23" s="3"/>
      <c r="I23" s="3"/>
      <c r="J23" s="10"/>
      <c r="K23" s="11"/>
    </row>
    <row r="24" spans="1:11" ht="15.75" thickBot="1" x14ac:dyDescent="0.3">
      <c r="A24" s="36" t="s">
        <v>0</v>
      </c>
      <c r="B24" s="15">
        <v>0</v>
      </c>
      <c r="C24" s="15"/>
      <c r="D24" s="37">
        <v>0</v>
      </c>
      <c r="E24" s="41"/>
      <c r="F24" s="38">
        <v>0</v>
      </c>
      <c r="G24" s="15">
        <v>0</v>
      </c>
      <c r="H24" s="15">
        <v>0</v>
      </c>
      <c r="I24" s="15">
        <v>0</v>
      </c>
      <c r="J24" s="15"/>
      <c r="K24" s="14"/>
    </row>
    <row r="25" spans="1:11" ht="24.75" customHeight="1" x14ac:dyDescent="0.25">
      <c r="A25" t="s">
        <v>5</v>
      </c>
    </row>
    <row r="26" spans="1:11" ht="15.75" thickBot="1" x14ac:dyDescent="0.3"/>
    <row r="27" spans="1:11" ht="15.75" thickBot="1" x14ac:dyDescent="0.3">
      <c r="A27" s="325" t="s">
        <v>67</v>
      </c>
      <c r="B27" s="342">
        <f>+B7-B16</f>
        <v>0</v>
      </c>
      <c r="C27" s="342">
        <f t="shared" ref="C27:K27" si="1">+C7-C16</f>
        <v>0</v>
      </c>
      <c r="D27" s="342">
        <f t="shared" si="1"/>
        <v>0</v>
      </c>
      <c r="E27" s="342">
        <f t="shared" si="1"/>
        <v>0</v>
      </c>
      <c r="F27" s="342">
        <f t="shared" si="1"/>
        <v>0</v>
      </c>
      <c r="G27" s="342">
        <f t="shared" si="1"/>
        <v>0</v>
      </c>
      <c r="H27" s="342">
        <f>H7-H16</f>
        <v>1500000</v>
      </c>
      <c r="I27" s="342">
        <f t="shared" si="1"/>
        <v>0</v>
      </c>
      <c r="J27" s="342">
        <f t="shared" si="1"/>
        <v>1500000</v>
      </c>
      <c r="K27" s="342">
        <f t="shared" si="1"/>
        <v>1500000</v>
      </c>
    </row>
  </sheetData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6"/>
  <sheetViews>
    <sheetView tabSelected="1" workbookViewId="0">
      <selection activeCell="A14" sqref="A14"/>
    </sheetView>
  </sheetViews>
  <sheetFormatPr baseColWidth="10" defaultColWidth="11.42578125" defaultRowHeight="15" x14ac:dyDescent="0.25"/>
  <cols>
    <col min="8" max="8" width="12.7109375" bestFit="1" customWidth="1"/>
    <col min="10" max="10" width="12.5703125" customWidth="1"/>
    <col min="11" max="11" width="13.14062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6440</v>
      </c>
      <c r="I3" t="s">
        <v>75</v>
      </c>
    </row>
    <row r="4" spans="1:11" x14ac:dyDescent="0.25">
      <c r="E4" t="s">
        <v>6</v>
      </c>
      <c r="F4" s="13" t="s">
        <v>54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5000000</v>
      </c>
      <c r="I7" s="26"/>
      <c r="J7" s="28">
        <f>SUM(B7:I7)</f>
        <v>5000000</v>
      </c>
      <c r="K7" s="29">
        <f>J7</f>
        <v>5000000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5000000</v>
      </c>
      <c r="I11" s="27">
        <f t="shared" si="0"/>
        <v>0</v>
      </c>
      <c r="J11" s="27">
        <f t="shared" si="0"/>
        <v>5000000</v>
      </c>
      <c r="K11" s="23">
        <f>K10+J11</f>
        <v>5000000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x14ac:dyDescent="0.25">
      <c r="A13" s="7" t="s">
        <v>932</v>
      </c>
      <c r="B13" s="35"/>
      <c r="C13" s="35"/>
      <c r="D13" s="35"/>
      <c r="E13" s="35"/>
      <c r="F13" s="35"/>
      <c r="G13" s="35"/>
      <c r="H13" s="35">
        <v>51575644</v>
      </c>
      <c r="I13" s="35"/>
      <c r="J13" s="35">
        <f>SUM(B13:I13)</f>
        <v>51575644</v>
      </c>
      <c r="K13" s="12">
        <f>J13</f>
        <v>51575644</v>
      </c>
    </row>
    <row r="14" spans="1:11" x14ac:dyDescent="0.25">
      <c r="A14" s="17"/>
      <c r="B14" s="16"/>
      <c r="C14" s="16"/>
      <c r="D14" s="16"/>
      <c r="E14" s="16"/>
      <c r="F14" s="16"/>
      <c r="G14" s="16"/>
      <c r="H14" s="16"/>
      <c r="I14" s="16"/>
      <c r="J14" s="8"/>
      <c r="K14" s="9"/>
    </row>
    <row r="15" spans="1:11" x14ac:dyDescent="0.25">
      <c r="A15" s="1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1" x14ac:dyDescent="0.25">
      <c r="A16" s="17"/>
      <c r="B16" s="16"/>
      <c r="C16" s="16"/>
      <c r="D16" s="16"/>
      <c r="E16" s="16"/>
      <c r="F16" s="16"/>
      <c r="G16" s="16"/>
      <c r="H16" s="16"/>
      <c r="I16" s="16"/>
      <c r="J16" s="8"/>
      <c r="K16" s="9"/>
    </row>
    <row r="17" spans="1:11" x14ac:dyDescent="0.25">
      <c r="A17" s="17"/>
      <c r="B17" s="16"/>
      <c r="C17" s="16"/>
      <c r="D17" s="16"/>
      <c r="E17" s="8"/>
      <c r="F17" s="16"/>
      <c r="G17" s="16"/>
      <c r="H17" s="16"/>
      <c r="I17" s="16"/>
      <c r="J17" s="8"/>
      <c r="K17" s="9"/>
    </row>
    <row r="18" spans="1:11" x14ac:dyDescent="0.25">
      <c r="A18" s="18"/>
      <c r="B18" s="16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>
        <v>0</v>
      </c>
      <c r="I23" s="15">
        <v>0</v>
      </c>
      <c r="J23" s="15"/>
      <c r="K23" s="14"/>
    </row>
    <row r="24" spans="1:11" x14ac:dyDescent="0.25">
      <c r="A24" t="s">
        <v>5</v>
      </c>
    </row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+H7-H23</f>
        <v>5000000</v>
      </c>
      <c r="I26" s="327">
        <f>+I7-I23</f>
        <v>0</v>
      </c>
      <c r="J26" s="327"/>
      <c r="K26" s="327">
        <f>+K7-K23</f>
        <v>5000000</v>
      </c>
    </row>
  </sheetData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topLeftCell="A4" workbookViewId="0">
      <selection activeCell="A14" sqref="A14"/>
    </sheetView>
  </sheetViews>
  <sheetFormatPr baseColWidth="10" defaultColWidth="11.42578125" defaultRowHeight="15" x14ac:dyDescent="0.25"/>
  <cols>
    <col min="2" max="2" width="10.28515625" customWidth="1"/>
    <col min="3" max="3" width="11" customWidth="1"/>
    <col min="4" max="4" width="10.85546875" customWidth="1"/>
    <col min="5" max="5" width="10.28515625" customWidth="1"/>
    <col min="6" max="6" width="10.42578125" customWidth="1"/>
    <col min="7" max="7" width="10.5703125" customWidth="1"/>
    <col min="8" max="8" width="14.5703125" customWidth="1"/>
    <col min="9" max="9" width="10.28515625" customWidth="1"/>
    <col min="10" max="10" width="12.85546875" customWidth="1"/>
    <col min="11" max="12" width="13.5703125" customWidth="1"/>
    <col min="13" max="13" width="13.85546875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6441</v>
      </c>
      <c r="I3" t="s">
        <v>75</v>
      </c>
    </row>
    <row r="4" spans="1:11" x14ac:dyDescent="0.25">
      <c r="E4" t="s">
        <v>6</v>
      </c>
      <c r="F4" s="13" t="s">
        <v>40</v>
      </c>
    </row>
    <row r="5" spans="1:11" ht="15.75" thickBot="1" x14ac:dyDescent="0.3"/>
    <row r="6" spans="1:11" ht="30.75" thickBot="1" x14ac:dyDescent="0.3">
      <c r="A6" s="39" t="s">
        <v>1</v>
      </c>
      <c r="B6" s="41"/>
      <c r="C6" s="42"/>
      <c r="D6" s="41"/>
      <c r="E6" s="41"/>
      <c r="F6" s="41"/>
      <c r="G6" s="41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37310000</v>
      </c>
      <c r="I7" s="26"/>
      <c r="J7" s="28">
        <f>SUM(B7:I7)</f>
        <v>37310000</v>
      </c>
      <c r="K7" s="29">
        <f>J7</f>
        <v>37310000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37310000</v>
      </c>
      <c r="I11" s="27">
        <f t="shared" si="0"/>
        <v>0</v>
      </c>
      <c r="J11" s="27">
        <f t="shared" si="0"/>
        <v>37310000</v>
      </c>
      <c r="K11" s="23">
        <f>K10+J11</f>
        <v>37310000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356" t="s">
        <v>918</v>
      </c>
      <c r="B13" s="77"/>
      <c r="C13" s="77"/>
      <c r="D13" s="77"/>
      <c r="E13" s="77"/>
      <c r="F13" s="77"/>
      <c r="G13" s="59"/>
      <c r="H13" s="59">
        <v>27310000</v>
      </c>
      <c r="I13" s="59"/>
      <c r="J13" s="59">
        <f>SUM(B13:I13)</f>
        <v>27310000</v>
      </c>
      <c r="K13" s="67">
        <f>J13</f>
        <v>27310000</v>
      </c>
    </row>
    <row r="14" spans="1:11" x14ac:dyDescent="0.25">
      <c r="A14" s="356" t="s">
        <v>914</v>
      </c>
      <c r="B14" s="77"/>
      <c r="C14" s="77"/>
      <c r="D14" s="77"/>
      <c r="E14" s="77"/>
      <c r="F14" s="77"/>
      <c r="G14" s="77"/>
      <c r="H14" s="77">
        <f>SUM(H13)</f>
        <v>27310000</v>
      </c>
      <c r="I14" s="77"/>
      <c r="J14" s="77">
        <f>SUM(J13)</f>
        <v>27310000</v>
      </c>
      <c r="K14" s="510">
        <f>SUM(K13)</f>
        <v>27310000</v>
      </c>
    </row>
    <row r="15" spans="1:11" x14ac:dyDescent="0.25">
      <c r="A15" s="9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328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x14ac:dyDescent="0.25">
      <c r="A17" s="357"/>
      <c r="B17" s="81"/>
      <c r="C17" s="81"/>
      <c r="D17" s="81"/>
      <c r="E17" s="81"/>
      <c r="F17" s="81"/>
      <c r="G17" s="81"/>
      <c r="H17" s="81"/>
      <c r="I17" s="81"/>
      <c r="J17" s="81"/>
      <c r="K17" s="100"/>
    </row>
    <row r="18" spans="1:11" x14ac:dyDescent="0.25">
      <c r="A18" s="17"/>
      <c r="B18" s="16"/>
      <c r="C18" s="16"/>
      <c r="D18" s="16"/>
      <c r="E18" s="8"/>
      <c r="F18" s="16"/>
      <c r="G18" s="16"/>
      <c r="H18" s="16"/>
      <c r="I18" s="16"/>
      <c r="J18" s="8"/>
      <c r="K18" s="9"/>
    </row>
    <row r="19" spans="1:11" x14ac:dyDescent="0.25">
      <c r="A19" s="1"/>
      <c r="B19" s="8"/>
      <c r="C19" s="8"/>
      <c r="D19" s="8"/>
      <c r="E19" s="16"/>
      <c r="F19" s="8"/>
      <c r="G19" s="8"/>
      <c r="H19" s="8"/>
      <c r="I19" s="8"/>
      <c r="J19" s="8"/>
      <c r="K19" s="9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>
        <v>0</v>
      </c>
      <c r="J23" s="15"/>
      <c r="K23" s="14"/>
    </row>
    <row r="24" spans="1:11" x14ac:dyDescent="0.25">
      <c r="A24" t="s">
        <v>5</v>
      </c>
    </row>
    <row r="25" spans="1:11" ht="24.75" customHeight="1" x14ac:dyDescent="0.25"/>
    <row r="26" spans="1:11" x14ac:dyDescent="0.25">
      <c r="A26" s="98" t="s">
        <v>67</v>
      </c>
      <c r="B26" s="98"/>
      <c r="C26" s="98"/>
      <c r="D26" s="98"/>
      <c r="E26" s="98"/>
      <c r="F26" s="98"/>
      <c r="G26" s="98"/>
      <c r="H26" s="327">
        <f>+H11-H14</f>
        <v>10000000</v>
      </c>
      <c r="I26" s="327">
        <f t="shared" ref="I26:K26" si="1">+I11-I14</f>
        <v>0</v>
      </c>
      <c r="J26" s="327"/>
      <c r="K26" s="327">
        <f t="shared" si="1"/>
        <v>10000000</v>
      </c>
    </row>
  </sheetData>
  <pageMargins left="0.7" right="0.7" top="0.75" bottom="0.75" header="0.3" footer="0.3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6"/>
  <sheetViews>
    <sheetView topLeftCell="A22" workbookViewId="0">
      <selection activeCell="D17" sqref="D17"/>
    </sheetView>
  </sheetViews>
  <sheetFormatPr baseColWidth="10" defaultColWidth="11.42578125" defaultRowHeight="15" x14ac:dyDescent="0.25"/>
  <cols>
    <col min="2" max="2" width="10.5703125" customWidth="1"/>
    <col min="3" max="4" width="10.7109375" customWidth="1"/>
    <col min="5" max="5" width="10.85546875" customWidth="1"/>
    <col min="6" max="6" width="10.7109375" customWidth="1"/>
    <col min="7" max="7" width="10.5703125" customWidth="1"/>
    <col min="9" max="9" width="11" customWidth="1"/>
    <col min="11" max="11" width="11" customWidth="1"/>
  </cols>
  <sheetData>
    <row r="1" spans="1:11" x14ac:dyDescent="0.25">
      <c r="A1" t="s">
        <v>9</v>
      </c>
      <c r="E1" t="s">
        <v>50</v>
      </c>
      <c r="I1" t="s">
        <v>45</v>
      </c>
    </row>
    <row r="2" spans="1:11" x14ac:dyDescent="0.25">
      <c r="A2" t="s">
        <v>44</v>
      </c>
    </row>
    <row r="3" spans="1:11" x14ac:dyDescent="0.25">
      <c r="E3" t="s">
        <v>13</v>
      </c>
      <c r="F3" s="13">
        <v>6451</v>
      </c>
      <c r="I3" t="s">
        <v>75</v>
      </c>
    </row>
    <row r="4" spans="1:11" x14ac:dyDescent="0.25">
      <c r="E4" t="s">
        <v>6</v>
      </c>
      <c r="F4" s="13" t="s">
        <v>53</v>
      </c>
    </row>
    <row r="5" spans="1:11" ht="15.75" thickBot="1" x14ac:dyDescent="0.3">
      <c r="F5" s="13" t="s">
        <v>41</v>
      </c>
      <c r="G5" s="13"/>
      <c r="H5" s="13"/>
    </row>
    <row r="6" spans="1:11" ht="29.25" customHeight="1" thickBot="1" x14ac:dyDescent="0.3">
      <c r="A6" s="39" t="s">
        <v>1</v>
      </c>
      <c r="B6" s="41"/>
      <c r="C6" s="45"/>
      <c r="D6" s="56"/>
      <c r="E6" s="56"/>
      <c r="F6" s="56"/>
      <c r="G6" s="45"/>
      <c r="H6" s="45">
        <v>8</v>
      </c>
      <c r="I6" s="41"/>
      <c r="J6" s="43" t="s">
        <v>16</v>
      </c>
      <c r="K6" s="40" t="s">
        <v>17</v>
      </c>
    </row>
    <row r="7" spans="1:11" ht="26.25" x14ac:dyDescent="0.25">
      <c r="A7" s="30" t="s">
        <v>18</v>
      </c>
      <c r="B7" s="24"/>
      <c r="C7" s="26"/>
      <c r="D7" s="26"/>
      <c r="E7" s="26"/>
      <c r="F7" s="26"/>
      <c r="G7" s="26"/>
      <c r="H7" s="26">
        <v>122000</v>
      </c>
      <c r="I7" s="26"/>
      <c r="J7" s="28">
        <f>SUM(B7:I7)</f>
        <v>122000</v>
      </c>
      <c r="K7" s="29">
        <f>J7</f>
        <v>122000</v>
      </c>
    </row>
    <row r="8" spans="1:11" ht="39" x14ac:dyDescent="0.25">
      <c r="A8" s="31" t="s">
        <v>19</v>
      </c>
      <c r="B8" s="20"/>
      <c r="C8" s="21"/>
      <c r="D8" s="22"/>
      <c r="E8" s="21"/>
      <c r="F8" s="21"/>
      <c r="G8" s="21"/>
      <c r="H8" s="21"/>
      <c r="I8" s="21"/>
      <c r="J8" s="22">
        <f>SUM(B8:I8)</f>
        <v>0</v>
      </c>
      <c r="K8" s="23"/>
    </row>
    <row r="9" spans="1:11" x14ac:dyDescent="0.25">
      <c r="A9" s="32" t="s">
        <v>2</v>
      </c>
      <c r="B9" s="6"/>
      <c r="C9" s="19"/>
      <c r="D9" s="19"/>
      <c r="E9" s="19"/>
      <c r="F9" s="19"/>
      <c r="G9" s="19"/>
      <c r="H9" s="19"/>
      <c r="I9" s="19"/>
      <c r="J9" s="19">
        <v>0</v>
      </c>
      <c r="K9" s="23">
        <f>K8+J9</f>
        <v>0</v>
      </c>
    </row>
    <row r="10" spans="1:11" x14ac:dyDescent="0.25">
      <c r="A10" s="32" t="s">
        <v>3</v>
      </c>
      <c r="B10" s="6"/>
      <c r="C10" s="19"/>
      <c r="D10" s="19"/>
      <c r="E10" s="19"/>
      <c r="F10" s="19"/>
      <c r="G10" s="19"/>
      <c r="H10" s="19"/>
      <c r="I10" s="19"/>
      <c r="J10" s="19">
        <v>0</v>
      </c>
      <c r="K10" s="23">
        <f>K9+J10</f>
        <v>0</v>
      </c>
    </row>
    <row r="11" spans="1:11" ht="27" thickBot="1" x14ac:dyDescent="0.3">
      <c r="A11" s="33" t="s">
        <v>20</v>
      </c>
      <c r="B11" s="25">
        <f t="shared" ref="B11:J11" si="0">SUM(B7:B10)</f>
        <v>0</v>
      </c>
      <c r="C11" s="27">
        <f t="shared" si="0"/>
        <v>0</v>
      </c>
      <c r="D11" s="27">
        <f t="shared" si="0"/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122000</v>
      </c>
      <c r="I11" s="27">
        <f t="shared" si="0"/>
        <v>0</v>
      </c>
      <c r="J11" s="27">
        <f t="shared" si="0"/>
        <v>122000</v>
      </c>
      <c r="K11" s="23">
        <f>K10+J11</f>
        <v>122000</v>
      </c>
    </row>
    <row r="12" spans="1:11" ht="27" thickBot="1" x14ac:dyDescent="0.3">
      <c r="A12" s="46" t="s">
        <v>21</v>
      </c>
      <c r="B12" s="47"/>
      <c r="C12" s="4"/>
      <c r="D12" s="4"/>
      <c r="E12" s="4"/>
      <c r="F12" s="34" t="s">
        <v>4</v>
      </c>
      <c r="G12" s="4"/>
      <c r="H12" s="4"/>
      <c r="I12" s="4"/>
      <c r="J12" s="4"/>
      <c r="K12" s="5"/>
    </row>
    <row r="13" spans="1:11" ht="15.75" thickBot="1" x14ac:dyDescent="0.3">
      <c r="A13" s="152" t="s">
        <v>608</v>
      </c>
      <c r="B13" s="110"/>
      <c r="C13" s="110"/>
      <c r="D13" s="110"/>
      <c r="E13" s="110"/>
      <c r="F13" s="110"/>
      <c r="G13" s="110"/>
      <c r="H13" s="110">
        <v>16250</v>
      </c>
      <c r="I13" s="110"/>
      <c r="J13" s="110">
        <f>SUM(B13:I13)</f>
        <v>16250</v>
      </c>
      <c r="K13" s="115">
        <f>J13</f>
        <v>16250</v>
      </c>
    </row>
    <row r="14" spans="1:11" x14ac:dyDescent="0.25">
      <c r="A14" s="514" t="s">
        <v>66</v>
      </c>
      <c r="B14" s="80"/>
      <c r="C14" s="80"/>
      <c r="D14" s="80"/>
      <c r="E14" s="80"/>
      <c r="F14" s="80"/>
      <c r="G14" s="80"/>
      <c r="H14" s="80">
        <f>SUM(H13)</f>
        <v>16250</v>
      </c>
      <c r="I14" s="80"/>
      <c r="J14" s="80">
        <f>SUM(J13)</f>
        <v>16250</v>
      </c>
      <c r="K14" s="80">
        <f>SUM(K13)</f>
        <v>16250</v>
      </c>
    </row>
    <row r="15" spans="1:11" ht="15.75" thickBot="1" x14ac:dyDescent="0.3">
      <c r="A15" s="202" t="s">
        <v>920</v>
      </c>
      <c r="B15" s="64"/>
      <c r="C15" s="64"/>
      <c r="D15" s="64"/>
      <c r="E15" s="64"/>
      <c r="F15" s="64"/>
      <c r="G15" s="64"/>
      <c r="H15" s="64">
        <v>72000</v>
      </c>
      <c r="I15" s="64"/>
      <c r="J15" s="64">
        <f>SUM(H15:I15)</f>
        <v>72000</v>
      </c>
      <c r="K15" s="64">
        <f>+K14+J15</f>
        <v>88250</v>
      </c>
    </row>
    <row r="16" spans="1:11" ht="15.75" thickBot="1" x14ac:dyDescent="0.3">
      <c r="A16" s="353" t="s">
        <v>914</v>
      </c>
      <c r="B16" s="83"/>
      <c r="C16" s="83"/>
      <c r="D16" s="83"/>
      <c r="E16" s="83"/>
      <c r="F16" s="83"/>
      <c r="G16" s="83"/>
      <c r="H16" s="83">
        <f>SUM(H14:H15)</f>
        <v>88250</v>
      </c>
      <c r="I16" s="83"/>
      <c r="J16" s="83">
        <f>SUM(J15)</f>
        <v>72000</v>
      </c>
      <c r="K16" s="149">
        <f>SUM(K15)</f>
        <v>88250</v>
      </c>
    </row>
    <row r="17" spans="1:11" x14ac:dyDescent="0.25">
      <c r="A17" s="569"/>
      <c r="B17" s="81"/>
      <c r="C17" s="81"/>
      <c r="D17" s="81"/>
      <c r="E17" s="81"/>
      <c r="F17" s="81"/>
      <c r="G17" s="81"/>
      <c r="H17" s="81"/>
      <c r="I17" s="81"/>
      <c r="J17" s="81">
        <f>SUM(B17:I17)</f>
        <v>0</v>
      </c>
      <c r="K17" s="81"/>
    </row>
    <row r="18" spans="1:11" x14ac:dyDescent="0.25">
      <c r="A18" s="328"/>
      <c r="B18" s="16"/>
      <c r="C18" s="16"/>
      <c r="D18" s="16"/>
      <c r="E18" s="16"/>
      <c r="F18" s="16"/>
      <c r="G18" s="16"/>
      <c r="H18" s="16"/>
      <c r="I18" s="16"/>
      <c r="J18" s="16">
        <f>SUM(J17)</f>
        <v>0</v>
      </c>
      <c r="K18" s="16"/>
    </row>
    <row r="19" spans="1:11" x14ac:dyDescent="0.25">
      <c r="A19" s="357"/>
      <c r="B19" s="81"/>
      <c r="C19" s="81"/>
      <c r="D19" s="81"/>
      <c r="E19" s="80"/>
      <c r="F19" s="81"/>
      <c r="G19" s="81"/>
      <c r="H19" s="81"/>
      <c r="I19" s="81"/>
      <c r="J19" s="81"/>
      <c r="K19" s="100"/>
    </row>
    <row r="20" spans="1:11" x14ac:dyDescent="0.25">
      <c r="A20" s="17"/>
      <c r="B20" s="16"/>
      <c r="C20" s="16"/>
      <c r="D20" s="16"/>
      <c r="E20" s="8"/>
      <c r="F20" s="16"/>
      <c r="G20" s="16"/>
      <c r="H20" s="16"/>
      <c r="I20" s="16"/>
      <c r="J20" s="8"/>
      <c r="K20" s="9"/>
    </row>
    <row r="21" spans="1:11" x14ac:dyDescent="0.25">
      <c r="A21" s="1"/>
      <c r="B21" s="8"/>
      <c r="C21" s="8"/>
      <c r="D21" s="8"/>
      <c r="E21" s="16"/>
      <c r="F21" s="8"/>
      <c r="G21" s="8"/>
      <c r="H21" s="8"/>
      <c r="I21" s="8"/>
      <c r="J21" s="8"/>
      <c r="K21" s="9"/>
    </row>
    <row r="22" spans="1:11" ht="15.75" thickBot="1" x14ac:dyDescent="0.3">
      <c r="A22" s="2"/>
      <c r="B22" s="3"/>
      <c r="C22" s="3"/>
      <c r="D22" s="3"/>
      <c r="E22" s="3"/>
      <c r="F22" s="3"/>
      <c r="G22" s="3"/>
      <c r="H22" s="3"/>
      <c r="I22" s="3"/>
      <c r="J22" s="10"/>
      <c r="K22" s="11"/>
    </row>
    <row r="23" spans="1:11" ht="15.75" thickBot="1" x14ac:dyDescent="0.3">
      <c r="A23" s="36" t="s">
        <v>0</v>
      </c>
      <c r="B23" s="15">
        <v>0</v>
      </c>
      <c r="C23" s="15"/>
      <c r="D23" s="37">
        <v>0</v>
      </c>
      <c r="E23" s="41"/>
      <c r="F23" s="38">
        <v>0</v>
      </c>
      <c r="G23" s="15">
        <v>0</v>
      </c>
      <c r="H23" s="15"/>
      <c r="I23" s="15">
        <v>0</v>
      </c>
      <c r="J23" s="15"/>
      <c r="K23" s="14"/>
    </row>
    <row r="24" spans="1:11" x14ac:dyDescent="0.25">
      <c r="A24" t="s">
        <v>5</v>
      </c>
    </row>
    <row r="25" spans="1:11" ht="22.5" customHeight="1" x14ac:dyDescent="0.25"/>
    <row r="26" spans="1:11" x14ac:dyDescent="0.25">
      <c r="A26" s="98"/>
      <c r="B26" s="98"/>
      <c r="C26" s="98"/>
      <c r="D26" s="98"/>
      <c r="E26" s="98"/>
      <c r="F26" s="98"/>
      <c r="G26" s="98"/>
      <c r="H26" s="327">
        <f>+H7-H16</f>
        <v>33750</v>
      </c>
      <c r="I26" s="327">
        <f>+I7-I23-I13</f>
        <v>0</v>
      </c>
      <c r="J26" s="327"/>
      <c r="K26" s="327">
        <f>+K7-K16</f>
        <v>33750</v>
      </c>
    </row>
  </sheetData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45</vt:i4>
      </vt:variant>
    </vt:vector>
  </HeadingPairs>
  <TitlesOfParts>
    <vt:vector size="45" baseType="lpstr">
      <vt:lpstr>6000</vt:lpstr>
      <vt:lpstr>60010</vt:lpstr>
      <vt:lpstr>60011</vt:lpstr>
      <vt:lpstr>60012</vt:lpstr>
      <vt:lpstr>60013</vt:lpstr>
      <vt:lpstr>60015</vt:lpstr>
      <vt:lpstr>60016</vt:lpstr>
      <vt:lpstr>6002</vt:lpstr>
      <vt:lpstr>6006</vt:lpstr>
      <vt:lpstr>6010</vt:lpstr>
      <vt:lpstr>6020</vt:lpstr>
      <vt:lpstr>6031</vt:lpstr>
      <vt:lpstr>6033</vt:lpstr>
      <vt:lpstr>6100</vt:lpstr>
      <vt:lpstr>6101</vt:lpstr>
      <vt:lpstr>6133</vt:lpstr>
      <vt:lpstr>6141</vt:lpstr>
      <vt:lpstr>6142</vt:lpstr>
      <vt:lpstr>6152</vt:lpstr>
      <vt:lpstr>6201</vt:lpstr>
      <vt:lpstr>6206</vt:lpstr>
      <vt:lpstr>6224</vt:lpstr>
      <vt:lpstr>6225</vt:lpstr>
      <vt:lpstr>6226</vt:lpstr>
      <vt:lpstr>6242</vt:lpstr>
      <vt:lpstr>6246</vt:lpstr>
      <vt:lpstr>6250</vt:lpstr>
      <vt:lpstr>6256</vt:lpstr>
      <vt:lpstr>6301</vt:lpstr>
      <vt:lpstr>6306</vt:lpstr>
      <vt:lpstr>6336</vt:lpstr>
      <vt:lpstr>6341</vt:lpstr>
      <vt:lpstr>6406</vt:lpstr>
      <vt:lpstr>6415</vt:lpstr>
      <vt:lpstr>6416</vt:lpstr>
      <vt:lpstr>6420</vt:lpstr>
      <vt:lpstr>6421</vt:lpstr>
      <vt:lpstr>6422</vt:lpstr>
      <vt:lpstr>6426</vt:lpstr>
      <vt:lpstr>6430</vt:lpstr>
      <vt:lpstr>6431</vt:lpstr>
      <vt:lpstr>6440</vt:lpstr>
      <vt:lpstr>6441</vt:lpstr>
      <vt:lpstr>6451</vt:lpstr>
      <vt:lpstr>Feuil10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KOUAKOU Yao Jean Marc</cp:lastModifiedBy>
  <cp:lastPrinted>2020-01-16T11:19:45Z</cp:lastPrinted>
  <dcterms:created xsi:type="dcterms:W3CDTF">2011-07-05T12:28:05Z</dcterms:created>
  <dcterms:modified xsi:type="dcterms:W3CDTF">2020-05-25T12:22:03Z</dcterms:modified>
</cp:coreProperties>
</file>